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yp\Documents\UBA MFin\2025T2\Tópicos en mercado de capitales\"/>
    </mc:Choice>
  </mc:AlternateContent>
  <xr:revisionPtr revIDLastSave="0" documentId="13_ncr:1_{88A1538D-9C43-4139-BD12-63E9A21A4396}" xr6:coauthVersionLast="47" xr6:coauthVersionMax="47" xr10:uidLastSave="{00000000-0000-0000-0000-000000000000}"/>
  <bookViews>
    <workbookView xWindow="-108" yWindow="-108" windowWidth="23256" windowHeight="12456" xr2:uid="{1B1905C5-6B61-4D87-AF0C-576D1380E814}"/>
  </bookViews>
  <sheets>
    <sheet name="Simulacion META" sheetId="2" r:id="rId1"/>
    <sheet name="Histograma_Valor_final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D1891" i="2" s="1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D1875" i="2" s="1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D1859" i="2" s="1"/>
  <c r="C1858" i="2"/>
  <c r="C1857" i="2"/>
  <c r="C1856" i="2"/>
  <c r="C1855" i="2"/>
  <c r="C1854" i="2"/>
  <c r="C1853" i="2"/>
  <c r="C1852" i="2"/>
  <c r="C1851" i="2"/>
  <c r="D1851" i="2" s="1"/>
  <c r="C1850" i="2"/>
  <c r="C1849" i="2"/>
  <c r="C1848" i="2"/>
  <c r="C1847" i="2"/>
  <c r="C1846" i="2"/>
  <c r="C1845" i="2"/>
  <c r="C1844" i="2"/>
  <c r="C1843" i="2"/>
  <c r="D1843" i="2" s="1"/>
  <c r="C1842" i="2"/>
  <c r="C1841" i="2"/>
  <c r="C1840" i="2"/>
  <c r="C1839" i="2"/>
  <c r="C1838" i="2"/>
  <c r="C1837" i="2"/>
  <c r="C1836" i="2"/>
  <c r="C1835" i="2"/>
  <c r="D1835" i="2" s="1"/>
  <c r="C1834" i="2"/>
  <c r="C1833" i="2"/>
  <c r="C1832" i="2"/>
  <c r="C1831" i="2"/>
  <c r="C1830" i="2"/>
  <c r="C1829" i="2"/>
  <c r="C1828" i="2"/>
  <c r="C1827" i="2"/>
  <c r="D1827" i="2" s="1"/>
  <c r="C1826" i="2"/>
  <c r="C1825" i="2"/>
  <c r="C1824" i="2"/>
  <c r="C1823" i="2"/>
  <c r="C1822" i="2"/>
  <c r="C1821" i="2"/>
  <c r="C1820" i="2"/>
  <c r="C1819" i="2"/>
  <c r="D1819" i="2" s="1"/>
  <c r="C1818" i="2"/>
  <c r="C1817" i="2"/>
  <c r="C1816" i="2"/>
  <c r="C1815" i="2"/>
  <c r="C1814" i="2"/>
  <c r="C1813" i="2"/>
  <c r="C1812" i="2"/>
  <c r="C1811" i="2"/>
  <c r="D1811" i="2" s="1"/>
  <c r="C1810" i="2"/>
  <c r="C1809" i="2"/>
  <c r="C1808" i="2"/>
  <c r="C1807" i="2"/>
  <c r="C1806" i="2"/>
  <c r="C1805" i="2"/>
  <c r="C1804" i="2"/>
  <c r="C1803" i="2"/>
  <c r="D1803" i="2" s="1"/>
  <c r="C1802" i="2"/>
  <c r="C1801" i="2"/>
  <c r="C1800" i="2"/>
  <c r="C1799" i="2"/>
  <c r="C1798" i="2"/>
  <c r="C1797" i="2"/>
  <c r="C1796" i="2"/>
  <c r="C1795" i="2"/>
  <c r="D1795" i="2" s="1"/>
  <c r="C1794" i="2"/>
  <c r="C1793" i="2"/>
  <c r="C1792" i="2"/>
  <c r="C1791" i="2"/>
  <c r="C1790" i="2"/>
  <c r="C1789" i="2"/>
  <c r="C1788" i="2"/>
  <c r="C1787" i="2"/>
  <c r="D1787" i="2" s="1"/>
  <c r="C1786" i="2"/>
  <c r="C1785" i="2"/>
  <c r="C1784" i="2"/>
  <c r="C1783" i="2"/>
  <c r="C1782" i="2"/>
  <c r="C1781" i="2"/>
  <c r="C1780" i="2"/>
  <c r="C1779" i="2"/>
  <c r="D1779" i="2" s="1"/>
  <c r="C1778" i="2"/>
  <c r="C1777" i="2"/>
  <c r="C1776" i="2"/>
  <c r="C1775" i="2"/>
  <c r="C1774" i="2"/>
  <c r="C1773" i="2"/>
  <c r="C1772" i="2"/>
  <c r="C1771" i="2"/>
  <c r="D1771" i="2" s="1"/>
  <c r="C1770" i="2"/>
  <c r="C1769" i="2"/>
  <c r="C1768" i="2"/>
  <c r="C1767" i="2"/>
  <c r="C1766" i="2"/>
  <c r="C1765" i="2"/>
  <c r="C1764" i="2"/>
  <c r="C1763" i="2"/>
  <c r="D1763" i="2" s="1"/>
  <c r="C1762" i="2"/>
  <c r="C1761" i="2"/>
  <c r="C1760" i="2"/>
  <c r="C1759" i="2"/>
  <c r="C1758" i="2"/>
  <c r="C1757" i="2"/>
  <c r="C1756" i="2"/>
  <c r="C1755" i="2"/>
  <c r="D1755" i="2" s="1"/>
  <c r="C1754" i="2"/>
  <c r="C1753" i="2"/>
  <c r="C1752" i="2"/>
  <c r="C1751" i="2"/>
  <c r="C1750" i="2"/>
  <c r="C1749" i="2"/>
  <c r="C1748" i="2"/>
  <c r="C1747" i="2"/>
  <c r="D1747" i="2" s="1"/>
  <c r="C1746" i="2"/>
  <c r="C1745" i="2"/>
  <c r="C1744" i="2"/>
  <c r="C1743" i="2"/>
  <c r="C1742" i="2"/>
  <c r="C1741" i="2"/>
  <c r="C1740" i="2"/>
  <c r="C1739" i="2"/>
  <c r="D1739" i="2" s="1"/>
  <c r="C1738" i="2"/>
  <c r="C1737" i="2"/>
  <c r="C1736" i="2"/>
  <c r="C1735" i="2"/>
  <c r="C1734" i="2"/>
  <c r="C1733" i="2"/>
  <c r="C1732" i="2"/>
  <c r="C1731" i="2"/>
  <c r="D1731" i="2" s="1"/>
  <c r="C1730" i="2"/>
  <c r="C1729" i="2"/>
  <c r="C1728" i="2"/>
  <c r="C1727" i="2"/>
  <c r="C1726" i="2"/>
  <c r="C1725" i="2"/>
  <c r="C1724" i="2"/>
  <c r="C1723" i="2"/>
  <c r="D1723" i="2" s="1"/>
  <c r="C1722" i="2"/>
  <c r="C1721" i="2"/>
  <c r="C1720" i="2"/>
  <c r="C1719" i="2"/>
  <c r="C1718" i="2"/>
  <c r="C1717" i="2"/>
  <c r="C1716" i="2"/>
  <c r="C1715" i="2"/>
  <c r="D1715" i="2" s="1"/>
  <c r="C1714" i="2"/>
  <c r="C1713" i="2"/>
  <c r="C1712" i="2"/>
  <c r="C1711" i="2"/>
  <c r="C1710" i="2"/>
  <c r="C1709" i="2"/>
  <c r="C1708" i="2"/>
  <c r="C1707" i="2"/>
  <c r="D1707" i="2" s="1"/>
  <c r="C1706" i="2"/>
  <c r="C1705" i="2"/>
  <c r="C1704" i="2"/>
  <c r="C1703" i="2"/>
  <c r="C1702" i="2"/>
  <c r="C1701" i="2"/>
  <c r="C1700" i="2"/>
  <c r="C1699" i="2"/>
  <c r="D1699" i="2" s="1"/>
  <c r="C1698" i="2"/>
  <c r="C1697" i="2"/>
  <c r="C1696" i="2"/>
  <c r="C1695" i="2"/>
  <c r="C1694" i="2"/>
  <c r="C1693" i="2"/>
  <c r="C1692" i="2"/>
  <c r="C1691" i="2"/>
  <c r="D1691" i="2" s="1"/>
  <c r="C1690" i="2"/>
  <c r="C1689" i="2"/>
  <c r="C1688" i="2"/>
  <c r="C1687" i="2"/>
  <c r="C1686" i="2"/>
  <c r="C1685" i="2"/>
  <c r="C1684" i="2"/>
  <c r="C1683" i="2"/>
  <c r="D1683" i="2" s="1"/>
  <c r="C1682" i="2"/>
  <c r="C1681" i="2"/>
  <c r="C1680" i="2"/>
  <c r="C1679" i="2"/>
  <c r="C1678" i="2"/>
  <c r="C1677" i="2"/>
  <c r="C1676" i="2"/>
  <c r="C1675" i="2"/>
  <c r="D1675" i="2" s="1"/>
  <c r="C1674" i="2"/>
  <c r="C1673" i="2"/>
  <c r="C1672" i="2"/>
  <c r="C1671" i="2"/>
  <c r="C1670" i="2"/>
  <c r="C1669" i="2"/>
  <c r="C1668" i="2"/>
  <c r="C1667" i="2"/>
  <c r="D1667" i="2" s="1"/>
  <c r="C1666" i="2"/>
  <c r="C1665" i="2"/>
  <c r="C1664" i="2"/>
  <c r="C1663" i="2"/>
  <c r="C1662" i="2"/>
  <c r="C1661" i="2"/>
  <c r="C1660" i="2"/>
  <c r="C1659" i="2"/>
  <c r="D1659" i="2" s="1"/>
  <c r="C1658" i="2"/>
  <c r="C1657" i="2"/>
  <c r="C1656" i="2"/>
  <c r="C1655" i="2"/>
  <c r="C1654" i="2"/>
  <c r="C1653" i="2"/>
  <c r="C1652" i="2"/>
  <c r="C1651" i="2"/>
  <c r="D1651" i="2" s="1"/>
  <c r="C1650" i="2"/>
  <c r="C1649" i="2"/>
  <c r="C1648" i="2"/>
  <c r="C1647" i="2"/>
  <c r="C1646" i="2"/>
  <c r="C1645" i="2"/>
  <c r="C1644" i="2"/>
  <c r="C1643" i="2"/>
  <c r="D1643" i="2" s="1"/>
  <c r="C1642" i="2"/>
  <c r="C1641" i="2"/>
  <c r="C1640" i="2"/>
  <c r="C1639" i="2"/>
  <c r="C1638" i="2"/>
  <c r="C1637" i="2"/>
  <c r="C1636" i="2"/>
  <c r="C1635" i="2"/>
  <c r="D1635" i="2" s="1"/>
  <c r="C1634" i="2"/>
  <c r="C1633" i="2"/>
  <c r="C1632" i="2"/>
  <c r="C1631" i="2"/>
  <c r="C1630" i="2"/>
  <c r="C1629" i="2"/>
  <c r="C1628" i="2"/>
  <c r="C1627" i="2"/>
  <c r="D1627" i="2" s="1"/>
  <c r="C1626" i="2"/>
  <c r="C1625" i="2"/>
  <c r="C1624" i="2"/>
  <c r="C1623" i="2"/>
  <c r="C1622" i="2"/>
  <c r="C1621" i="2"/>
  <c r="C1620" i="2"/>
  <c r="C1619" i="2"/>
  <c r="D1619" i="2" s="1"/>
  <c r="C1618" i="2"/>
  <c r="C1617" i="2"/>
  <c r="C1616" i="2"/>
  <c r="C1615" i="2"/>
  <c r="C1614" i="2"/>
  <c r="C1613" i="2"/>
  <c r="C1612" i="2"/>
  <c r="C1611" i="2"/>
  <c r="D1611" i="2" s="1"/>
  <c r="C1610" i="2"/>
  <c r="C1609" i="2"/>
  <c r="C1608" i="2"/>
  <c r="C1607" i="2"/>
  <c r="C1606" i="2"/>
  <c r="C1605" i="2"/>
  <c r="C1604" i="2"/>
  <c r="C1603" i="2"/>
  <c r="D1603" i="2" s="1"/>
  <c r="C1602" i="2"/>
  <c r="C1601" i="2"/>
  <c r="C1600" i="2"/>
  <c r="C1599" i="2"/>
  <c r="C1598" i="2"/>
  <c r="C1597" i="2"/>
  <c r="C1596" i="2"/>
  <c r="C1595" i="2"/>
  <c r="D1595" i="2" s="1"/>
  <c r="C1594" i="2"/>
  <c r="C1593" i="2"/>
  <c r="C1592" i="2"/>
  <c r="C1591" i="2"/>
  <c r="C1590" i="2"/>
  <c r="C1589" i="2"/>
  <c r="C1588" i="2"/>
  <c r="C1587" i="2"/>
  <c r="D1587" i="2" s="1"/>
  <c r="C1586" i="2"/>
  <c r="C1585" i="2"/>
  <c r="C1584" i="2"/>
  <c r="C1583" i="2"/>
  <c r="C1582" i="2"/>
  <c r="C1581" i="2"/>
  <c r="C1580" i="2"/>
  <c r="C1579" i="2"/>
  <c r="D1579" i="2" s="1"/>
  <c r="C1578" i="2"/>
  <c r="C1577" i="2"/>
  <c r="C1576" i="2"/>
  <c r="C1575" i="2"/>
  <c r="C1574" i="2"/>
  <c r="C1573" i="2"/>
  <c r="C1572" i="2"/>
  <c r="C1571" i="2"/>
  <c r="D1571" i="2" s="1"/>
  <c r="C1570" i="2"/>
  <c r="C1569" i="2"/>
  <c r="C1568" i="2"/>
  <c r="C1567" i="2"/>
  <c r="C1566" i="2"/>
  <c r="C1565" i="2"/>
  <c r="C1564" i="2"/>
  <c r="C1563" i="2"/>
  <c r="D1563" i="2" s="1"/>
  <c r="C1562" i="2"/>
  <c r="C1561" i="2"/>
  <c r="C1560" i="2"/>
  <c r="C1559" i="2"/>
  <c r="C1558" i="2"/>
  <c r="C1557" i="2"/>
  <c r="C1556" i="2"/>
  <c r="C1555" i="2"/>
  <c r="D1555" i="2" s="1"/>
  <c r="C1554" i="2"/>
  <c r="C1553" i="2"/>
  <c r="C1552" i="2"/>
  <c r="C1551" i="2"/>
  <c r="C1550" i="2"/>
  <c r="C1549" i="2"/>
  <c r="C1548" i="2"/>
  <c r="C1547" i="2"/>
  <c r="D1547" i="2" s="1"/>
  <c r="C1546" i="2"/>
  <c r="C1545" i="2"/>
  <c r="C1544" i="2"/>
  <c r="C1543" i="2"/>
  <c r="C1542" i="2"/>
  <c r="C1541" i="2"/>
  <c r="C1540" i="2"/>
  <c r="C1539" i="2"/>
  <c r="D1539" i="2" s="1"/>
  <c r="C1538" i="2"/>
  <c r="C1537" i="2"/>
  <c r="C1536" i="2"/>
  <c r="C1535" i="2"/>
  <c r="C1534" i="2"/>
  <c r="C1533" i="2"/>
  <c r="C1532" i="2"/>
  <c r="C1531" i="2"/>
  <c r="D1531" i="2" s="1"/>
  <c r="C1530" i="2"/>
  <c r="C1529" i="2"/>
  <c r="C1528" i="2"/>
  <c r="C1527" i="2"/>
  <c r="C1526" i="2"/>
  <c r="C1525" i="2"/>
  <c r="C1524" i="2"/>
  <c r="C1523" i="2"/>
  <c r="D1523" i="2" s="1"/>
  <c r="C1522" i="2"/>
  <c r="C1521" i="2"/>
  <c r="C1520" i="2"/>
  <c r="C1519" i="2"/>
  <c r="C1518" i="2"/>
  <c r="C1517" i="2"/>
  <c r="C1516" i="2"/>
  <c r="C1515" i="2"/>
  <c r="D1515" i="2" s="1"/>
  <c r="C1514" i="2"/>
  <c r="C1513" i="2"/>
  <c r="C1512" i="2"/>
  <c r="C1511" i="2"/>
  <c r="C1510" i="2"/>
  <c r="C1509" i="2"/>
  <c r="C1508" i="2"/>
  <c r="C1507" i="2"/>
  <c r="D1507" i="2" s="1"/>
  <c r="C1506" i="2"/>
  <c r="C1505" i="2"/>
  <c r="C1504" i="2"/>
  <c r="C1503" i="2"/>
  <c r="C1502" i="2"/>
  <c r="C1501" i="2"/>
  <c r="C1500" i="2"/>
  <c r="C1499" i="2"/>
  <c r="D1499" i="2" s="1"/>
  <c r="C1498" i="2"/>
  <c r="C1497" i="2"/>
  <c r="C1496" i="2"/>
  <c r="C1495" i="2"/>
  <c r="C1494" i="2"/>
  <c r="C1493" i="2"/>
  <c r="C1492" i="2"/>
  <c r="C1491" i="2"/>
  <c r="D1491" i="2" s="1"/>
  <c r="C1490" i="2"/>
  <c r="C1489" i="2"/>
  <c r="C1488" i="2"/>
  <c r="C1487" i="2"/>
  <c r="C1486" i="2"/>
  <c r="C1485" i="2"/>
  <c r="C1484" i="2"/>
  <c r="C1483" i="2"/>
  <c r="D1483" i="2" s="1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D1467" i="2" s="1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D1451" i="2" s="1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D1435" i="2" s="1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D1419" i="2" s="1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D1403" i="2" s="1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D1387" i="2" s="1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D1371" i="2" s="1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D1355" i="2" s="1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D1339" i="2" s="1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D1323" i="2" s="1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D1307" i="2" s="1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D1291" i="2" s="1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D1275" i="2" s="1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D1259" i="2" s="1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D1243" i="2" s="1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D1227" i="2" s="1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D1211" i="2" s="1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D1195" i="2" s="1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D1179" i="2" s="1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D1163" i="2" s="1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D1147" i="2" s="1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D1131" i="2" s="1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D1115" i="2" s="1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D1099" i="2" s="1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D1083" i="2" s="1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D1067" i="2" s="1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D1051" i="2" s="1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D1035" i="2" s="1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D1019" i="2" s="1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D1003" i="2" s="1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D987" i="2" s="1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D971" i="2" s="1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D955" i="2" s="1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D939" i="2" s="1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D923" i="2" s="1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D907" i="2" s="1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D891" i="2" s="1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D875" i="2" s="1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D859" i="2" s="1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D843" i="2" s="1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D827" i="2" s="1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D811" i="2" s="1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D795" i="2" s="1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D779" i="2" s="1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D763" i="2" s="1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D747" i="2" s="1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D731" i="2" s="1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D715" i="2" s="1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D699" i="2" s="1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D683" i="2" s="1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D667" i="2" s="1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D651" i="2" s="1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D635" i="2" s="1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D602" i="2" s="1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D586" i="2" s="1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D570" i="2" s="1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D554" i="2" s="1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D538" i="2" s="1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D522" i="2" s="1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D506" i="2" s="1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D490" i="2" s="1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D474" i="2" s="1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D458" i="2" s="1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D442" i="2" s="1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D426" i="2" s="1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D410" i="2" s="1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D394" i="2" s="1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D378" i="2" s="1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D362" i="2" s="1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D346" i="2" s="1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D330" i="2" s="1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D314" i="2" s="1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D298" i="2" s="1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D282" i="2" s="1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D266" i="2" s="1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D250" i="2" s="1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D234" i="2" s="1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D218" i="2" s="1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D202" i="2" s="1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D186" i="2" s="1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D170" i="2" s="1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D154" i="2" s="1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D138" i="2" s="1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D122" i="2" s="1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D106" i="2" s="1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D90" i="2" s="1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D74" i="2" s="1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D58" i="2" s="1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D42" i="2" s="1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D26" i="2" s="1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D10" i="2" s="1"/>
  <c r="C9" i="2"/>
  <c r="C8" i="2"/>
  <c r="C7" i="2"/>
  <c r="C6" i="2"/>
  <c r="C5" i="2"/>
  <c r="C4" i="2"/>
  <c r="C3" i="2"/>
  <c r="C2" i="2"/>
  <c r="D1907" i="2" l="1"/>
  <c r="D618" i="2"/>
  <c r="D619" i="2"/>
  <c r="D926" i="2"/>
  <c r="D942" i="2"/>
  <c r="D958" i="2"/>
  <c r="D974" i="2"/>
  <c r="D990" i="2"/>
  <c r="D1006" i="2"/>
  <c r="D1022" i="2"/>
  <c r="D1038" i="2"/>
  <c r="D1054" i="2"/>
  <c r="D1070" i="2"/>
  <c r="D1086" i="2"/>
  <c r="D1102" i="2"/>
  <c r="D1118" i="2"/>
  <c r="D1134" i="2"/>
  <c r="D1150" i="2"/>
  <c r="D1166" i="2"/>
  <c r="D634" i="2"/>
  <c r="D650" i="2"/>
  <c r="D666" i="2"/>
  <c r="D682" i="2"/>
  <c r="D698" i="2"/>
  <c r="D714" i="2"/>
  <c r="D730" i="2"/>
  <c r="D746" i="2"/>
  <c r="D762" i="2"/>
  <c r="D778" i="2"/>
  <c r="D794" i="2"/>
  <c r="D810" i="2"/>
  <c r="D826" i="2"/>
  <c r="D842" i="2"/>
  <c r="D858" i="2"/>
  <c r="D874" i="2"/>
  <c r="D890" i="2"/>
  <c r="D906" i="2"/>
  <c r="D922" i="2"/>
  <c r="D938" i="2"/>
  <c r="D954" i="2"/>
  <c r="D970" i="2"/>
  <c r="D986" i="2"/>
  <c r="D1002" i="2"/>
  <c r="D1018" i="2"/>
  <c r="D1034" i="2"/>
  <c r="D1050" i="2"/>
  <c r="D1066" i="2"/>
  <c r="D1082" i="2"/>
  <c r="D1098" i="2"/>
  <c r="D1114" i="2"/>
  <c r="D1130" i="2"/>
  <c r="D1146" i="2"/>
  <c r="D1162" i="2"/>
  <c r="D1178" i="2"/>
  <c r="D1194" i="2"/>
  <c r="D1210" i="2"/>
  <c r="D1226" i="2"/>
  <c r="D1242" i="2"/>
  <c r="D1258" i="2"/>
  <c r="D1274" i="2"/>
  <c r="D1290" i="2"/>
  <c r="D1306" i="2"/>
  <c r="D1322" i="2"/>
  <c r="D1338" i="2"/>
  <c r="D1354" i="2"/>
  <c r="D1370" i="2"/>
  <c r="D1386" i="2"/>
  <c r="D1182" i="2"/>
  <c r="D1198" i="2"/>
  <c r="D1214" i="2"/>
  <c r="D1230" i="2"/>
  <c r="D1246" i="2"/>
  <c r="D1262" i="2"/>
  <c r="D1278" i="2"/>
  <c r="D1294" i="2"/>
  <c r="D1310" i="2"/>
  <c r="D1326" i="2"/>
  <c r="D1342" i="2"/>
  <c r="D1358" i="2"/>
  <c r="D1374" i="2"/>
  <c r="D1390" i="2"/>
  <c r="D1406" i="2"/>
  <c r="D1422" i="2"/>
  <c r="D1438" i="2"/>
  <c r="D1454" i="2"/>
  <c r="D1470" i="2"/>
  <c r="D1486" i="2"/>
  <c r="D1502" i="2"/>
  <c r="D1518" i="2"/>
  <c r="D1534" i="2"/>
  <c r="D1550" i="2"/>
  <c r="D1566" i="2"/>
  <c r="D1582" i="2"/>
  <c r="D1598" i="2"/>
  <c r="D1614" i="2"/>
  <c r="D1630" i="2"/>
  <c r="D1646" i="2"/>
  <c r="D1662" i="2"/>
  <c r="D1678" i="2"/>
  <c r="D1694" i="2"/>
  <c r="D1710" i="2"/>
  <c r="D1726" i="2"/>
  <c r="D1742" i="2"/>
  <c r="D1758" i="2"/>
  <c r="D1774" i="2"/>
  <c r="D1790" i="2"/>
  <c r="D1806" i="2"/>
  <c r="D1822" i="2"/>
  <c r="D1838" i="2"/>
  <c r="D1854" i="2"/>
  <c r="D1870" i="2"/>
  <c r="D1886" i="2"/>
  <c r="D1902" i="2"/>
  <c r="D1918" i="2"/>
  <c r="D1934" i="2"/>
  <c r="D1950" i="2"/>
  <c r="D1966" i="2"/>
  <c r="D1982" i="2"/>
  <c r="D1998" i="2"/>
  <c r="D2014" i="2"/>
  <c r="D2030" i="2"/>
  <c r="D2046" i="2"/>
  <c r="D2062" i="2"/>
  <c r="D2078" i="2"/>
  <c r="D2094" i="2"/>
  <c r="D2110" i="2"/>
  <c r="D2126" i="2"/>
  <c r="D2142" i="2"/>
  <c r="D2158" i="2"/>
  <c r="D2174" i="2"/>
  <c r="D2190" i="2"/>
  <c r="D2206" i="2"/>
  <c r="D2222" i="2"/>
  <c r="D2238" i="2"/>
  <c r="D2254" i="2"/>
  <c r="D2270" i="2"/>
  <c r="D2286" i="2"/>
  <c r="D2302" i="2"/>
  <c r="D2318" i="2"/>
  <c r="D2334" i="2"/>
  <c r="D2350" i="2"/>
  <c r="D2366" i="2"/>
  <c r="D2382" i="2"/>
  <c r="D2398" i="2"/>
  <c r="D2414" i="2"/>
  <c r="D2430" i="2"/>
  <c r="D2446" i="2"/>
  <c r="D2462" i="2"/>
  <c r="D2478" i="2"/>
  <c r="D2494" i="2"/>
  <c r="D2510" i="2"/>
  <c r="D2526" i="2"/>
  <c r="D13" i="2"/>
  <c r="D29" i="2"/>
  <c r="D61" i="2"/>
  <c r="D77" i="2"/>
  <c r="D93" i="2"/>
  <c r="D109" i="2"/>
  <c r="D1923" i="2"/>
  <c r="D1939" i="2"/>
  <c r="D1955" i="2"/>
  <c r="D1971" i="2"/>
  <c r="D1987" i="2"/>
  <c r="D2003" i="2"/>
  <c r="D2019" i="2"/>
  <c r="D2035" i="2"/>
  <c r="D2051" i="2"/>
  <c r="D2549" i="2"/>
  <c r="D1867" i="2"/>
  <c r="D1883" i="2"/>
  <c r="D1899" i="2"/>
  <c r="D1915" i="2"/>
  <c r="D1931" i="2"/>
  <c r="D1947" i="2"/>
  <c r="D1963" i="2"/>
  <c r="D1979" i="2"/>
  <c r="D125" i="2"/>
  <c r="D141" i="2"/>
  <c r="D157" i="2"/>
  <c r="D173" i="2"/>
  <c r="D189" i="2"/>
  <c r="D205" i="2"/>
  <c r="D221" i="2"/>
  <c r="D237" i="2"/>
  <c r="D253" i="2"/>
  <c r="D269" i="2"/>
  <c r="D285" i="2"/>
  <c r="D301" i="2"/>
  <c r="D317" i="2"/>
  <c r="D333" i="2"/>
  <c r="D349" i="2"/>
  <c r="D365" i="2"/>
  <c r="D381" i="2"/>
  <c r="D397" i="2"/>
  <c r="D413" i="2"/>
  <c r="D429" i="2"/>
  <c r="D445" i="2"/>
  <c r="D461" i="2"/>
  <c r="D477" i="2"/>
  <c r="D493" i="2"/>
  <c r="D509" i="2"/>
  <c r="D525" i="2"/>
  <c r="D541" i="2"/>
  <c r="D557" i="2"/>
  <c r="D573" i="2"/>
  <c r="D589" i="2"/>
  <c r="D605" i="2"/>
  <c r="D621" i="2"/>
  <c r="D637" i="2"/>
  <c r="D653" i="2"/>
  <c r="D669" i="2"/>
  <c r="D685" i="2"/>
  <c r="D701" i="2"/>
  <c r="D717" i="2"/>
  <c r="D733" i="2"/>
  <c r="D749" i="2"/>
  <c r="D765" i="2"/>
  <c r="D781" i="2"/>
  <c r="D797" i="2"/>
  <c r="D813" i="2"/>
  <c r="D829" i="2"/>
  <c r="D845" i="2"/>
  <c r="D861" i="2"/>
  <c r="D877" i="2"/>
  <c r="D893" i="2"/>
  <c r="D909" i="2"/>
  <c r="D925" i="2"/>
  <c r="D941" i="2"/>
  <c r="D957" i="2"/>
  <c r="D973" i="2"/>
  <c r="D989" i="2"/>
  <c r="D1005" i="2"/>
  <c r="D1021" i="2"/>
  <c r="D1037" i="2"/>
  <c r="D1053" i="2"/>
  <c r="D1069" i="2"/>
  <c r="D1085" i="2"/>
  <c r="D1101" i="2"/>
  <c r="D1117" i="2"/>
  <c r="D1133" i="2"/>
  <c r="D1149" i="2"/>
  <c r="D1165" i="2"/>
  <c r="D1309" i="2"/>
  <c r="D1325" i="2"/>
  <c r="D1341" i="2"/>
  <c r="D1357" i="2"/>
  <c r="D1373" i="2"/>
  <c r="D1405" i="2"/>
  <c r="D1421" i="2"/>
  <c r="D1437" i="2"/>
  <c r="D1453" i="2"/>
  <c r="D1469" i="2"/>
  <c r="D1485" i="2"/>
  <c r="D1501" i="2"/>
  <c r="D1517" i="2"/>
  <c r="D1533" i="2"/>
  <c r="D1549" i="2"/>
  <c r="D1565" i="2"/>
  <c r="D1581" i="2"/>
  <c r="D1597" i="2"/>
  <c r="D1613" i="2"/>
  <c r="D578" i="2"/>
  <c r="D626" i="2"/>
  <c r="D1995" i="2"/>
  <c r="D2011" i="2"/>
  <c r="D2027" i="2"/>
  <c r="D2043" i="2"/>
  <c r="D2059" i="2"/>
  <c r="D2075" i="2"/>
  <c r="D2091" i="2"/>
  <c r="D2107" i="2"/>
  <c r="D1629" i="2"/>
  <c r="D1645" i="2"/>
  <c r="D1661" i="2"/>
  <c r="D1677" i="2"/>
  <c r="D1693" i="2"/>
  <c r="D1709" i="2"/>
  <c r="D1725" i="2"/>
  <c r="D1741" i="2"/>
  <c r="D1757" i="2"/>
  <c r="D1773" i="2"/>
  <c r="D1789" i="2"/>
  <c r="D1805" i="2"/>
  <c r="D1821" i="2"/>
  <c r="D1837" i="2"/>
  <c r="D1853" i="2"/>
  <c r="D1869" i="2"/>
  <c r="D1885" i="2"/>
  <c r="D1901" i="2"/>
  <c r="D1917" i="2"/>
  <c r="D1933" i="2"/>
  <c r="D1949" i="2"/>
  <c r="D1965" i="2"/>
  <c r="D1981" i="2"/>
  <c r="D1997" i="2"/>
  <c r="D2013" i="2"/>
  <c r="D2029" i="2"/>
  <c r="D2045" i="2"/>
  <c r="D2061" i="2"/>
  <c r="D2077" i="2"/>
  <c r="D2093" i="2"/>
  <c r="D2109" i="2"/>
  <c r="D2125" i="2"/>
  <c r="D2141" i="2"/>
  <c r="D2157" i="2"/>
  <c r="D2173" i="2"/>
  <c r="D2189" i="2"/>
  <c r="D2205" i="2"/>
  <c r="D2221" i="2"/>
  <c r="D2237" i="2"/>
  <c r="D2253" i="2"/>
  <c r="D2269" i="2"/>
  <c r="D2285" i="2"/>
  <c r="D2301" i="2"/>
  <c r="D2545" i="2"/>
  <c r="D2550" i="2"/>
  <c r="D1402" i="2"/>
  <c r="D1418" i="2"/>
  <c r="D1434" i="2"/>
  <c r="D1450" i="2"/>
  <c r="D1466" i="2"/>
  <c r="D1482" i="2"/>
  <c r="D1498" i="2"/>
  <c r="D1514" i="2"/>
  <c r="D1530" i="2"/>
  <c r="D1546" i="2"/>
  <c r="D1562" i="2"/>
  <c r="D1578" i="2"/>
  <c r="D1594" i="2"/>
  <c r="D1610" i="2"/>
  <c r="D1626" i="2"/>
  <c r="D1642" i="2"/>
  <c r="D1658" i="2"/>
  <c r="D1674" i="2"/>
  <c r="D1690" i="2"/>
  <c r="D2542" i="2"/>
  <c r="D2558" i="2"/>
  <c r="D114" i="2"/>
  <c r="D226" i="2"/>
  <c r="D338" i="2"/>
  <c r="D434" i="2"/>
  <c r="D482" i="2"/>
  <c r="D498" i="2"/>
  <c r="D562" i="2"/>
  <c r="D642" i="2"/>
  <c r="D658" i="2"/>
  <c r="D674" i="2"/>
  <c r="D690" i="2"/>
  <c r="D706" i="2"/>
  <c r="D722" i="2"/>
  <c r="D738" i="2"/>
  <c r="D754" i="2"/>
  <c r="D770" i="2"/>
  <c r="D786" i="2"/>
  <c r="D802" i="2"/>
  <c r="D818" i="2"/>
  <c r="D834" i="2"/>
  <c r="D850" i="2"/>
  <c r="D866" i="2"/>
  <c r="D882" i="2"/>
  <c r="D898" i="2"/>
  <c r="D914" i="2"/>
  <c r="D930" i="2"/>
  <c r="D946" i="2"/>
  <c r="D962" i="2"/>
  <c r="D978" i="2"/>
  <c r="D994" i="2"/>
  <c r="D1010" i="2"/>
  <c r="D1026" i="2"/>
  <c r="D1042" i="2"/>
  <c r="D1058" i="2"/>
  <c r="D1074" i="2"/>
  <c r="D1090" i="2"/>
  <c r="D1106" i="2"/>
  <c r="D1122" i="2"/>
  <c r="D1138" i="2"/>
  <c r="D1154" i="2"/>
  <c r="D1170" i="2"/>
  <c r="D1186" i="2"/>
  <c r="D50" i="2"/>
  <c r="D146" i="2"/>
  <c r="D274" i="2"/>
  <c r="D370" i="2"/>
  <c r="D514" i="2"/>
  <c r="D227" i="2"/>
  <c r="D339" i="2"/>
  <c r="D419" i="2"/>
  <c r="D499" i="2"/>
  <c r="D611" i="2"/>
  <c r="D659" i="2"/>
  <c r="D723" i="2"/>
  <c r="D771" i="2"/>
  <c r="D803" i="2"/>
  <c r="D819" i="2"/>
  <c r="D835" i="2"/>
  <c r="D851" i="2"/>
  <c r="D867" i="2"/>
  <c r="D883" i="2"/>
  <c r="D915" i="2"/>
  <c r="D963" i="2"/>
  <c r="D979" i="2"/>
  <c r="D995" i="2"/>
  <c r="D1011" i="2"/>
  <c r="D1027" i="2"/>
  <c r="D1043" i="2"/>
  <c r="D1059" i="2"/>
  <c r="D82" i="2"/>
  <c r="D210" i="2"/>
  <c r="D322" i="2"/>
  <c r="D450" i="2"/>
  <c r="D594" i="2"/>
  <c r="D195" i="2"/>
  <c r="D307" i="2"/>
  <c r="D371" i="2"/>
  <c r="D435" i="2"/>
  <c r="D483" i="2"/>
  <c r="D595" i="2"/>
  <c r="D675" i="2"/>
  <c r="D739" i="2"/>
  <c r="D899" i="2"/>
  <c r="D66" i="2"/>
  <c r="D178" i="2"/>
  <c r="D290" i="2"/>
  <c r="D418" i="2"/>
  <c r="D610" i="2"/>
  <c r="D211" i="2"/>
  <c r="D323" i="2"/>
  <c r="D355" i="2"/>
  <c r="D403" i="2"/>
  <c r="D467" i="2"/>
  <c r="D531" i="2"/>
  <c r="D627" i="2"/>
  <c r="D691" i="2"/>
  <c r="D707" i="2"/>
  <c r="D787" i="2"/>
  <c r="D947" i="2"/>
  <c r="D98" i="2"/>
  <c r="D194" i="2"/>
  <c r="D306" i="2"/>
  <c r="D402" i="2"/>
  <c r="D546" i="2"/>
  <c r="D179" i="2"/>
  <c r="D291" i="2"/>
  <c r="D387" i="2"/>
  <c r="D451" i="2"/>
  <c r="D563" i="2"/>
  <c r="D643" i="2"/>
  <c r="D755" i="2"/>
  <c r="D931" i="2"/>
  <c r="D18" i="2"/>
  <c r="D130" i="2"/>
  <c r="D242" i="2"/>
  <c r="D386" i="2"/>
  <c r="D259" i="2"/>
  <c r="D547" i="2"/>
  <c r="D243" i="2"/>
  <c r="D579" i="2"/>
  <c r="D34" i="2"/>
  <c r="D162" i="2"/>
  <c r="D258" i="2"/>
  <c r="D354" i="2"/>
  <c r="D466" i="2"/>
  <c r="D530" i="2"/>
  <c r="D275" i="2"/>
  <c r="D515" i="2"/>
  <c r="D44" i="2"/>
  <c r="D702" i="2"/>
  <c r="D718" i="2"/>
  <c r="D734" i="2"/>
  <c r="D750" i="2"/>
  <c r="D766" i="2"/>
  <c r="D782" i="2"/>
  <c r="D798" i="2"/>
  <c r="D814" i="2"/>
  <c r="D830" i="2"/>
  <c r="D846" i="2"/>
  <c r="D862" i="2"/>
  <c r="D878" i="2"/>
  <c r="D894" i="2"/>
  <c r="D910" i="2"/>
  <c r="D1202" i="2"/>
  <c r="D1218" i="2"/>
  <c r="D1234" i="2"/>
  <c r="D1250" i="2"/>
  <c r="D1266" i="2"/>
  <c r="D1282" i="2"/>
  <c r="D1298" i="2"/>
  <c r="D1314" i="2"/>
  <c r="D1330" i="2"/>
  <c r="D1346" i="2"/>
  <c r="D1362" i="2"/>
  <c r="D1378" i="2"/>
  <c r="D1394" i="2"/>
  <c r="D1410" i="2"/>
  <c r="D1426" i="2"/>
  <c r="D1442" i="2"/>
  <c r="D1458" i="2"/>
  <c r="D1474" i="2"/>
  <c r="D1490" i="2"/>
  <c r="D1506" i="2"/>
  <c r="D1522" i="2"/>
  <c r="D1538" i="2"/>
  <c r="D1554" i="2"/>
  <c r="D1570" i="2"/>
  <c r="D1586" i="2"/>
  <c r="D1602" i="2"/>
  <c r="D1618" i="2"/>
  <c r="D1634" i="2"/>
  <c r="D1650" i="2"/>
  <c r="D1666" i="2"/>
  <c r="D1682" i="2"/>
  <c r="D1698" i="2"/>
  <c r="D1714" i="2"/>
  <c r="D1730" i="2"/>
  <c r="D1746" i="2"/>
  <c r="D1762" i="2"/>
  <c r="D1778" i="2"/>
  <c r="D1794" i="2"/>
  <c r="D1810" i="2"/>
  <c r="D1826" i="2"/>
  <c r="D1842" i="2"/>
  <c r="D1858" i="2"/>
  <c r="D1874" i="2"/>
  <c r="D1890" i="2"/>
  <c r="D1906" i="2"/>
  <c r="D1922" i="2"/>
  <c r="D1938" i="2"/>
  <c r="D1954" i="2"/>
  <c r="D1970" i="2"/>
  <c r="D1986" i="2"/>
  <c r="D2002" i="2"/>
  <c r="D2018" i="2"/>
  <c r="D2034" i="2"/>
  <c r="D2050" i="2"/>
  <c r="D2066" i="2"/>
  <c r="D2082" i="2"/>
  <c r="D2098" i="2"/>
  <c r="D2114" i="2"/>
  <c r="D2130" i="2"/>
  <c r="D2146" i="2"/>
  <c r="D2162" i="2"/>
  <c r="D2178" i="2"/>
  <c r="D2194" i="2"/>
  <c r="D2210" i="2"/>
  <c r="D2226" i="2"/>
  <c r="D2242" i="2"/>
  <c r="D2258" i="2"/>
  <c r="D2274" i="2"/>
  <c r="D2290" i="2"/>
  <c r="D2306" i="2"/>
  <c r="D2322" i="2"/>
  <c r="D2338" i="2"/>
  <c r="D2354" i="2"/>
  <c r="D2370" i="2"/>
  <c r="D2386" i="2"/>
  <c r="D2402" i="2"/>
  <c r="D2418" i="2"/>
  <c r="D2434" i="2"/>
  <c r="D2450" i="2"/>
  <c r="D2466" i="2"/>
  <c r="D2482" i="2"/>
  <c r="D2498" i="2"/>
  <c r="D2514" i="2"/>
  <c r="D2530" i="2"/>
  <c r="D2546" i="2"/>
  <c r="D1075" i="2"/>
  <c r="D1091" i="2"/>
  <c r="D1107" i="2"/>
  <c r="D1123" i="2"/>
  <c r="D1139" i="2"/>
  <c r="D1155" i="2"/>
  <c r="D1171" i="2"/>
  <c r="D1187" i="2"/>
  <c r="D1203" i="2"/>
  <c r="D1219" i="2"/>
  <c r="D1235" i="2"/>
  <c r="D1251" i="2"/>
  <c r="D1267" i="2"/>
  <c r="D1283" i="2"/>
  <c r="D1299" i="2"/>
  <c r="D1315" i="2"/>
  <c r="D1331" i="2"/>
  <c r="D1347" i="2"/>
  <c r="D1363" i="2"/>
  <c r="D1379" i="2"/>
  <c r="D1395" i="2"/>
  <c r="D1411" i="2"/>
  <c r="D1427" i="2"/>
  <c r="D1443" i="2"/>
  <c r="D1459" i="2"/>
  <c r="D1475" i="2"/>
  <c r="D2548" i="2"/>
  <c r="D1706" i="2"/>
  <c r="D1722" i="2"/>
  <c r="D1738" i="2"/>
  <c r="D1754" i="2"/>
  <c r="D1770" i="2"/>
  <c r="D1786" i="2"/>
  <c r="D1802" i="2"/>
  <c r="D1818" i="2"/>
  <c r="D1834" i="2"/>
  <c r="D1850" i="2"/>
  <c r="D1866" i="2"/>
  <c r="D1882" i="2"/>
  <c r="D1898" i="2"/>
  <c r="D1914" i="2"/>
  <c r="D1930" i="2"/>
  <c r="D1946" i="2"/>
  <c r="D1962" i="2"/>
  <c r="D1978" i="2"/>
  <c r="D1994" i="2"/>
  <c r="D2010" i="2"/>
  <c r="D2026" i="2"/>
  <c r="D2042" i="2"/>
  <c r="D2058" i="2"/>
  <c r="D2074" i="2"/>
  <c r="D2090" i="2"/>
  <c r="D2106" i="2"/>
  <c r="D2122" i="2"/>
  <c r="D2138" i="2"/>
  <c r="D2154" i="2"/>
  <c r="D2170" i="2"/>
  <c r="D2186" i="2"/>
  <c r="D2202" i="2"/>
  <c r="D2218" i="2"/>
  <c r="D2234" i="2"/>
  <c r="D2250" i="2"/>
  <c r="D2266" i="2"/>
  <c r="D2282" i="2"/>
  <c r="D2298" i="2"/>
  <c r="D2314" i="2"/>
  <c r="D2330" i="2"/>
  <c r="D2346" i="2"/>
  <c r="D2362" i="2"/>
  <c r="D2378" i="2"/>
  <c r="D2394" i="2"/>
  <c r="D2410" i="2"/>
  <c r="D2426" i="2"/>
  <c r="D2442" i="2"/>
  <c r="D2458" i="2"/>
  <c r="D2474" i="2"/>
  <c r="D2490" i="2"/>
  <c r="D2506" i="2"/>
  <c r="D2522" i="2"/>
  <c r="D2538" i="2"/>
  <c r="D2554" i="2"/>
  <c r="D1300" i="2"/>
  <c r="D1316" i="2"/>
  <c r="D1332" i="2"/>
  <c r="D1348" i="2"/>
  <c r="D1364" i="2"/>
  <c r="D1380" i="2"/>
  <c r="D1396" i="2"/>
  <c r="D1412" i="2"/>
  <c r="D1428" i="2"/>
  <c r="D1444" i="2"/>
  <c r="D1460" i="2"/>
  <c r="D1476" i="2"/>
  <c r="D1636" i="2"/>
  <c r="D1717" i="2"/>
  <c r="D247" i="2"/>
  <c r="D263" i="2"/>
  <c r="D279" i="2"/>
  <c r="D295" i="2"/>
  <c r="D311" i="2"/>
  <c r="D327" i="2"/>
  <c r="D343" i="2"/>
  <c r="D359" i="2"/>
  <c r="D375" i="2"/>
  <c r="D391" i="2"/>
  <c r="D407" i="2"/>
  <c r="D423" i="2"/>
  <c r="D439" i="2"/>
  <c r="D455" i="2"/>
  <c r="D471" i="2"/>
  <c r="D487" i="2"/>
  <c r="D503" i="2"/>
  <c r="D519" i="2"/>
  <c r="D535" i="2"/>
  <c r="D551" i="2"/>
  <c r="D567" i="2"/>
  <c r="D583" i="2"/>
  <c r="D599" i="2"/>
  <c r="D615" i="2"/>
  <c r="D631" i="2"/>
  <c r="D647" i="2"/>
  <c r="D663" i="2"/>
  <c r="D679" i="2"/>
  <c r="D695" i="2"/>
  <c r="D711" i="2"/>
  <c r="D727" i="2"/>
  <c r="D743" i="2"/>
  <c r="D759" i="2"/>
  <c r="D775" i="2"/>
  <c r="D791" i="2"/>
  <c r="D807" i="2"/>
  <c r="D823" i="2"/>
  <c r="D839" i="2"/>
  <c r="D855" i="2"/>
  <c r="D871" i="2"/>
  <c r="D887" i="2"/>
  <c r="D903" i="2"/>
  <c r="D919" i="2"/>
  <c r="D935" i="2"/>
  <c r="D951" i="2"/>
  <c r="D967" i="2"/>
  <c r="D983" i="2"/>
  <c r="D999" i="2"/>
  <c r="D1015" i="2"/>
  <c r="D1031" i="2"/>
  <c r="D1047" i="2"/>
  <c r="D1063" i="2"/>
  <c r="D1079" i="2"/>
  <c r="D1095" i="2"/>
  <c r="D1111" i="2"/>
  <c r="D1127" i="2"/>
  <c r="D1143" i="2"/>
  <c r="D1159" i="2"/>
  <c r="D1175" i="2"/>
  <c r="D11" i="2"/>
  <c r="D123" i="2"/>
  <c r="D235" i="2"/>
  <c r="D267" i="2"/>
  <c r="D315" i="2"/>
  <c r="D347" i="2"/>
  <c r="D379" i="2"/>
  <c r="D411" i="2"/>
  <c r="D443" i="2"/>
  <c r="D475" i="2"/>
  <c r="D507" i="2"/>
  <c r="D555" i="2"/>
  <c r="D587" i="2"/>
  <c r="D2123" i="2"/>
  <c r="D2139" i="2"/>
  <c r="D2155" i="2"/>
  <c r="D2171" i="2"/>
  <c r="D2187" i="2"/>
  <c r="D2203" i="2"/>
  <c r="D2219" i="2"/>
  <c r="D2235" i="2"/>
  <c r="D2251" i="2"/>
  <c r="D2267" i="2"/>
  <c r="D2283" i="2"/>
  <c r="D2299" i="2"/>
  <c r="D2315" i="2"/>
  <c r="D2331" i="2"/>
  <c r="D2347" i="2"/>
  <c r="D2363" i="2"/>
  <c r="D2379" i="2"/>
  <c r="D2395" i="2"/>
  <c r="D2411" i="2"/>
  <c r="D2427" i="2"/>
  <c r="D2443" i="2"/>
  <c r="D2459" i="2"/>
  <c r="D2475" i="2"/>
  <c r="D2491" i="2"/>
  <c r="D2507" i="2"/>
  <c r="D2523" i="2"/>
  <c r="D2539" i="2"/>
  <c r="D2555" i="2"/>
  <c r="D27" i="2"/>
  <c r="D107" i="2"/>
  <c r="D219" i="2"/>
  <c r="D251" i="2"/>
  <c r="D283" i="2"/>
  <c r="D299" i="2"/>
  <c r="D331" i="2"/>
  <c r="D363" i="2"/>
  <c r="D395" i="2"/>
  <c r="D427" i="2"/>
  <c r="D459" i="2"/>
  <c r="D491" i="2"/>
  <c r="D523" i="2"/>
  <c r="D539" i="2"/>
  <c r="D571" i="2"/>
  <c r="D603" i="2"/>
  <c r="D396" i="2"/>
  <c r="D171" i="2"/>
  <c r="D91" i="2"/>
  <c r="D203" i="2"/>
  <c r="D78" i="2"/>
  <c r="D142" i="2"/>
  <c r="D206" i="2"/>
  <c r="D270" i="2"/>
  <c r="D366" i="2"/>
  <c r="D446" i="2"/>
  <c r="D510" i="2"/>
  <c r="D606" i="2"/>
  <c r="D670" i="2"/>
  <c r="D75" i="2"/>
  <c r="D187" i="2"/>
  <c r="D30" i="2"/>
  <c r="D94" i="2"/>
  <c r="D158" i="2"/>
  <c r="D222" i="2"/>
  <c r="D286" i="2"/>
  <c r="D334" i="2"/>
  <c r="D398" i="2"/>
  <c r="D462" i="2"/>
  <c r="D526" i="2"/>
  <c r="D574" i="2"/>
  <c r="D654" i="2"/>
  <c r="D159" i="2"/>
  <c r="D43" i="2"/>
  <c r="D139" i="2"/>
  <c r="D46" i="2"/>
  <c r="D110" i="2"/>
  <c r="D190" i="2"/>
  <c r="D254" i="2"/>
  <c r="D318" i="2"/>
  <c r="D382" i="2"/>
  <c r="D430" i="2"/>
  <c r="D494" i="2"/>
  <c r="D558" i="2"/>
  <c r="D622" i="2"/>
  <c r="D686" i="2"/>
  <c r="D32" i="2"/>
  <c r="D64" i="2"/>
  <c r="D96" i="2"/>
  <c r="D128" i="2"/>
  <c r="D176" i="2"/>
  <c r="D208" i="2"/>
  <c r="D240" i="2"/>
  <c r="D288" i="2"/>
  <c r="D320" i="2"/>
  <c r="D368" i="2"/>
  <c r="D400" i="2"/>
  <c r="D448" i="2"/>
  <c r="D496" i="2"/>
  <c r="D528" i="2"/>
  <c r="D560" i="2"/>
  <c r="D592" i="2"/>
  <c r="D624" i="2"/>
  <c r="D640" i="2"/>
  <c r="D656" i="2"/>
  <c r="D672" i="2"/>
  <c r="D704" i="2"/>
  <c r="D720" i="2"/>
  <c r="D736" i="2"/>
  <c r="D752" i="2"/>
  <c r="D768" i="2"/>
  <c r="D784" i="2"/>
  <c r="D800" i="2"/>
  <c r="D816" i="2"/>
  <c r="D832" i="2"/>
  <c r="D848" i="2"/>
  <c r="D864" i="2"/>
  <c r="D880" i="2"/>
  <c r="D896" i="2"/>
  <c r="D912" i="2"/>
  <c r="D928" i="2"/>
  <c r="D944" i="2"/>
  <c r="D960" i="2"/>
  <c r="D976" i="2"/>
  <c r="D992" i="2"/>
  <c r="D1008" i="2"/>
  <c r="D1024" i="2"/>
  <c r="D1040" i="2"/>
  <c r="D1056" i="2"/>
  <c r="D1072" i="2"/>
  <c r="D1088" i="2"/>
  <c r="D1104" i="2"/>
  <c r="D1120" i="2"/>
  <c r="D1136" i="2"/>
  <c r="D1152" i="2"/>
  <c r="D1168" i="2"/>
  <c r="D1184" i="2"/>
  <c r="D1200" i="2"/>
  <c r="D1216" i="2"/>
  <c r="D59" i="2"/>
  <c r="D155" i="2"/>
  <c r="D14" i="2"/>
  <c r="D62" i="2"/>
  <c r="D126" i="2"/>
  <c r="D174" i="2"/>
  <c r="D238" i="2"/>
  <c r="D302" i="2"/>
  <c r="D350" i="2"/>
  <c r="D414" i="2"/>
  <c r="D478" i="2"/>
  <c r="D542" i="2"/>
  <c r="D590" i="2"/>
  <c r="D638" i="2"/>
  <c r="D16" i="2"/>
  <c r="D48" i="2"/>
  <c r="D80" i="2"/>
  <c r="D112" i="2"/>
  <c r="D144" i="2"/>
  <c r="D160" i="2"/>
  <c r="D192" i="2"/>
  <c r="D224" i="2"/>
  <c r="D256" i="2"/>
  <c r="D272" i="2"/>
  <c r="D304" i="2"/>
  <c r="D336" i="2"/>
  <c r="D352" i="2"/>
  <c r="D384" i="2"/>
  <c r="D416" i="2"/>
  <c r="D432" i="2"/>
  <c r="D464" i="2"/>
  <c r="D480" i="2"/>
  <c r="D512" i="2"/>
  <c r="D544" i="2"/>
  <c r="D576" i="2"/>
  <c r="D608" i="2"/>
  <c r="D688" i="2"/>
  <c r="D1232" i="2"/>
  <c r="D1248" i="2"/>
  <c r="D1264" i="2"/>
  <c r="D1280" i="2"/>
  <c r="D1296" i="2"/>
  <c r="D1312" i="2"/>
  <c r="D1328" i="2"/>
  <c r="D1344" i="2"/>
  <c r="D1360" i="2"/>
  <c r="D1376" i="2"/>
  <c r="D1392" i="2"/>
  <c r="D1408" i="2"/>
  <c r="D1424" i="2"/>
  <c r="D1440" i="2"/>
  <c r="D1456" i="2"/>
  <c r="D1472" i="2"/>
  <c r="D1488" i="2"/>
  <c r="D1504" i="2"/>
  <c r="D1520" i="2"/>
  <c r="D1536" i="2"/>
  <c r="D1552" i="2"/>
  <c r="D1568" i="2"/>
  <c r="D1584" i="2"/>
  <c r="D1600" i="2"/>
  <c r="D1616" i="2"/>
  <c r="D1632" i="2"/>
  <c r="D1648" i="2"/>
  <c r="D1664" i="2"/>
  <c r="D1680" i="2"/>
  <c r="D1696" i="2"/>
  <c r="D1712" i="2"/>
  <c r="D1728" i="2"/>
  <c r="D1744" i="2"/>
  <c r="D1760" i="2"/>
  <c r="D1776" i="2"/>
  <c r="D1792" i="2"/>
  <c r="D1808" i="2"/>
  <c r="D1824" i="2"/>
  <c r="D1840" i="2"/>
  <c r="D1856" i="2"/>
  <c r="D1872" i="2"/>
  <c r="D1888" i="2"/>
  <c r="D1904" i="2"/>
  <c r="D1920" i="2"/>
  <c r="D1936" i="2"/>
  <c r="D1952" i="2"/>
  <c r="D1968" i="2"/>
  <c r="D1984" i="2"/>
  <c r="D2000" i="2"/>
  <c r="D2016" i="2"/>
  <c r="D2032" i="2"/>
  <c r="D2048" i="2"/>
  <c r="D2064" i="2"/>
  <c r="D2080" i="2"/>
  <c r="D2096" i="2"/>
  <c r="D2112" i="2"/>
  <c r="D2128" i="2"/>
  <c r="D2144" i="2"/>
  <c r="D2160" i="2"/>
  <c r="D2176" i="2"/>
  <c r="D2192" i="2"/>
  <c r="D2208" i="2"/>
  <c r="D2224" i="2"/>
  <c r="D2240" i="2"/>
  <c r="D2256" i="2"/>
  <c r="D2272" i="2"/>
  <c r="D2288" i="2"/>
  <c r="D2304" i="2"/>
  <c r="D2320" i="2"/>
  <c r="D2336" i="2"/>
  <c r="D2352" i="2"/>
  <c r="D2368" i="2"/>
  <c r="D2384" i="2"/>
  <c r="D2400" i="2"/>
  <c r="D2416" i="2"/>
  <c r="D2432" i="2"/>
  <c r="D2448" i="2"/>
  <c r="D2464" i="2"/>
  <c r="D2480" i="2"/>
  <c r="D2496" i="2"/>
  <c r="D2512" i="2"/>
  <c r="D2528" i="2"/>
  <c r="D2544" i="2"/>
  <c r="D2067" i="2"/>
  <c r="D2083" i="2"/>
  <c r="D2099" i="2"/>
  <c r="D2115" i="2"/>
  <c r="D2131" i="2"/>
  <c r="D2147" i="2"/>
  <c r="D2163" i="2"/>
  <c r="D2179" i="2"/>
  <c r="D2195" i="2"/>
  <c r="D2211" i="2"/>
  <c r="D2227" i="2"/>
  <c r="D2243" i="2"/>
  <c r="D2259" i="2"/>
  <c r="D2275" i="2"/>
  <c r="D2291" i="2"/>
  <c r="D2307" i="2"/>
  <c r="D2323" i="2"/>
  <c r="D2339" i="2"/>
  <c r="D2355" i="2"/>
  <c r="D2371" i="2"/>
  <c r="D2387" i="2"/>
  <c r="D2403" i="2"/>
  <c r="D2419" i="2"/>
  <c r="D2435" i="2"/>
  <c r="D2451" i="2"/>
  <c r="D2467" i="2"/>
  <c r="D2483" i="2"/>
  <c r="D2499" i="2"/>
  <c r="D2515" i="2"/>
  <c r="D2531" i="2"/>
  <c r="D2547" i="2"/>
  <c r="D1191" i="2"/>
  <c r="D1207" i="2"/>
  <c r="D1223" i="2"/>
  <c r="D1239" i="2"/>
  <c r="D1255" i="2"/>
  <c r="D1271" i="2"/>
  <c r="D1287" i="2"/>
  <c r="D1303" i="2"/>
  <c r="D1319" i="2"/>
  <c r="D1335" i="2"/>
  <c r="D1351" i="2"/>
  <c r="D1367" i="2"/>
  <c r="D1383" i="2"/>
  <c r="D1399" i="2"/>
  <c r="D1415" i="2"/>
  <c r="D1431" i="2"/>
  <c r="D1447" i="2"/>
  <c r="D1463" i="2"/>
  <c r="D1479" i="2"/>
  <c r="D1495" i="2"/>
  <c r="D1511" i="2"/>
  <c r="D1527" i="2"/>
  <c r="D1543" i="2"/>
  <c r="D1559" i="2"/>
  <c r="D1575" i="2"/>
  <c r="D1591" i="2"/>
  <c r="D1607" i="2"/>
  <c r="D1623" i="2"/>
  <c r="D1639" i="2"/>
  <c r="D1655" i="2"/>
  <c r="D1671" i="2"/>
  <c r="D1687" i="2"/>
  <c r="D1703" i="2"/>
  <c r="D1719" i="2"/>
  <c r="D1735" i="2"/>
  <c r="D1751" i="2"/>
  <c r="D1767" i="2"/>
  <c r="D1783" i="2"/>
  <c r="D1799" i="2"/>
  <c r="D1815" i="2"/>
  <c r="D1831" i="2"/>
  <c r="D1847" i="2"/>
  <c r="D1863" i="2"/>
  <c r="D1879" i="2"/>
  <c r="D1895" i="2"/>
  <c r="D1911" i="2"/>
  <c r="D1927" i="2"/>
  <c r="D1943" i="2"/>
  <c r="D1959" i="2"/>
  <c r="D1975" i="2"/>
  <c r="D1991" i="2"/>
  <c r="D2007" i="2"/>
  <c r="D2023" i="2"/>
  <c r="D2039" i="2"/>
  <c r="D2055" i="2"/>
  <c r="D2071" i="2"/>
  <c r="D2087" i="2"/>
  <c r="D2103" i="2"/>
  <c r="D2119" i="2"/>
  <c r="D2135" i="2"/>
  <c r="D2151" i="2"/>
  <c r="D2167" i="2"/>
  <c r="D2183" i="2"/>
  <c r="D2199" i="2"/>
  <c r="D2215" i="2"/>
  <c r="D2231" i="2"/>
  <c r="D2247" i="2"/>
  <c r="D2263" i="2"/>
  <c r="D2279" i="2"/>
  <c r="D17" i="2"/>
  <c r="D33" i="2"/>
  <c r="D49" i="2"/>
  <c r="D65" i="2"/>
  <c r="D81" i="2"/>
  <c r="D97" i="2"/>
  <c r="D113" i="2"/>
  <c r="D129" i="2"/>
  <c r="D145" i="2"/>
  <c r="D161" i="2"/>
  <c r="D177" i="2"/>
  <c r="D193" i="2"/>
  <c r="D209" i="2"/>
  <c r="D225" i="2"/>
  <c r="D241" i="2"/>
  <c r="D257" i="2"/>
  <c r="D273" i="2"/>
  <c r="D289" i="2"/>
  <c r="D305" i="2"/>
  <c r="D321" i="2"/>
  <c r="D337" i="2"/>
  <c r="D353" i="2"/>
  <c r="D369" i="2"/>
  <c r="D385" i="2"/>
  <c r="D401" i="2"/>
  <c r="D417" i="2"/>
  <c r="D433" i="2"/>
  <c r="D449" i="2"/>
  <c r="D465" i="2"/>
  <c r="D481" i="2"/>
  <c r="D497" i="2"/>
  <c r="D513" i="2"/>
  <c r="D529" i="2"/>
  <c r="D545" i="2"/>
  <c r="D561" i="2"/>
  <c r="D577" i="2"/>
  <c r="D593" i="2"/>
  <c r="D609" i="2"/>
  <c r="D625" i="2"/>
  <c r="D641" i="2"/>
  <c r="D657" i="2"/>
  <c r="D673" i="2"/>
  <c r="D689" i="2"/>
  <c r="D705" i="2"/>
  <c r="D721" i="2"/>
  <c r="D737" i="2"/>
  <c r="D753" i="2"/>
  <c r="D769" i="2"/>
  <c r="D785" i="2"/>
  <c r="D801" i="2"/>
  <c r="D817" i="2"/>
  <c r="D833" i="2"/>
  <c r="D849" i="2"/>
  <c r="D865" i="2"/>
  <c r="D881" i="2"/>
  <c r="D897" i="2"/>
  <c r="D913" i="2"/>
  <c r="D929" i="2"/>
  <c r="D945" i="2"/>
  <c r="D961" i="2"/>
  <c r="D977" i="2"/>
  <c r="D993" i="2"/>
  <c r="D1009" i="2"/>
  <c r="D1025" i="2"/>
  <c r="D1041" i="2"/>
  <c r="D1057" i="2"/>
  <c r="D1073" i="2"/>
  <c r="D1089" i="2"/>
  <c r="D1105" i="2"/>
  <c r="D1121" i="2"/>
  <c r="D1137" i="2"/>
  <c r="D1153" i="2"/>
  <c r="D1169" i="2"/>
  <c r="D1185" i="2"/>
  <c r="D1201" i="2"/>
  <c r="D1217" i="2"/>
  <c r="D1233" i="2"/>
  <c r="D1249" i="2"/>
  <c r="D1265" i="2"/>
  <c r="D1281" i="2"/>
  <c r="D1297" i="2"/>
  <c r="D1313" i="2"/>
  <c r="D1329" i="2"/>
  <c r="D1345" i="2"/>
  <c r="D1361" i="2"/>
  <c r="D1377" i="2"/>
  <c r="D1393" i="2"/>
  <c r="D1409" i="2"/>
  <c r="D1425" i="2"/>
  <c r="D1441" i="2"/>
  <c r="D131" i="2"/>
  <c r="D68" i="2"/>
  <c r="D196" i="2"/>
  <c r="D308" i="2"/>
  <c r="D404" i="2"/>
  <c r="D516" i="2"/>
  <c r="D628" i="2"/>
  <c r="D660" i="2"/>
  <c r="D676" i="2"/>
  <c r="D692" i="2"/>
  <c r="D708" i="2"/>
  <c r="D804" i="2"/>
  <c r="D836" i="2"/>
  <c r="D852" i="2"/>
  <c r="D868" i="2"/>
  <c r="D884" i="2"/>
  <c r="D900" i="2"/>
  <c r="D916" i="2"/>
  <c r="D932" i="2"/>
  <c r="D948" i="2"/>
  <c r="D964" i="2"/>
  <c r="D980" i="2"/>
  <c r="D996" i="2"/>
  <c r="D1012" i="2"/>
  <c r="D1028" i="2"/>
  <c r="D1044" i="2"/>
  <c r="D1060" i="2"/>
  <c r="D1076" i="2"/>
  <c r="D1092" i="2"/>
  <c r="D1108" i="2"/>
  <c r="D1124" i="2"/>
  <c r="D1140" i="2"/>
  <c r="D1156" i="2"/>
  <c r="D1172" i="2"/>
  <c r="D1188" i="2"/>
  <c r="D1204" i="2"/>
  <c r="D1220" i="2"/>
  <c r="D1236" i="2"/>
  <c r="D1252" i="2"/>
  <c r="D1268" i="2"/>
  <c r="D1284" i="2"/>
  <c r="D99" i="2"/>
  <c r="D84" i="2"/>
  <c r="D228" i="2"/>
  <c r="D340" i="2"/>
  <c r="D436" i="2"/>
  <c r="D548" i="2"/>
  <c r="D756" i="2"/>
  <c r="D69" i="2"/>
  <c r="D181" i="2"/>
  <c r="D261" i="2"/>
  <c r="D325" i="2"/>
  <c r="D341" i="2"/>
  <c r="D357" i="2"/>
  <c r="D373" i="2"/>
  <c r="D389" i="2"/>
  <c r="D405" i="2"/>
  <c r="D421" i="2"/>
  <c r="D437" i="2"/>
  <c r="D453" i="2"/>
  <c r="D469" i="2"/>
  <c r="D485" i="2"/>
  <c r="D501" i="2"/>
  <c r="D517" i="2"/>
  <c r="D533" i="2"/>
  <c r="D549" i="2"/>
  <c r="D565" i="2"/>
  <c r="D581" i="2"/>
  <c r="D597" i="2"/>
  <c r="D613" i="2"/>
  <c r="D629" i="2"/>
  <c r="D645" i="2"/>
  <c r="D661" i="2"/>
  <c r="D677" i="2"/>
  <c r="D693" i="2"/>
  <c r="D709" i="2"/>
  <c r="D725" i="2"/>
  <c r="D741" i="2"/>
  <c r="D757" i="2"/>
  <c r="D773" i="2"/>
  <c r="D789" i="2"/>
  <c r="D805" i="2"/>
  <c r="D821" i="2"/>
  <c r="D837" i="2"/>
  <c r="D853" i="2"/>
  <c r="D869" i="2"/>
  <c r="D885" i="2"/>
  <c r="D901" i="2"/>
  <c r="D917" i="2"/>
  <c r="D933" i="2"/>
  <c r="D949" i="2"/>
  <c r="D965" i="2"/>
  <c r="D981" i="2"/>
  <c r="D997" i="2"/>
  <c r="D1013" i="2"/>
  <c r="D1029" i="2"/>
  <c r="D1045" i="2"/>
  <c r="D1061" i="2"/>
  <c r="D1077" i="2"/>
  <c r="D1093" i="2"/>
  <c r="D1109" i="2"/>
  <c r="D1125" i="2"/>
  <c r="D1141" i="2"/>
  <c r="D1157" i="2"/>
  <c r="D1173" i="2"/>
  <c r="D1189" i="2"/>
  <c r="D1205" i="2"/>
  <c r="D1221" i="2"/>
  <c r="D1237" i="2"/>
  <c r="D1253" i="2"/>
  <c r="D1269" i="2"/>
  <c r="D1285" i="2"/>
  <c r="D1301" i="2"/>
  <c r="D1317" i="2"/>
  <c r="D1333" i="2"/>
  <c r="D1349" i="2"/>
  <c r="D1365" i="2"/>
  <c r="D1381" i="2"/>
  <c r="D1397" i="2"/>
  <c r="D1413" i="2"/>
  <c r="D1461" i="2"/>
  <c r="D19" i="2"/>
  <c r="D180" i="2"/>
  <c r="D324" i="2"/>
  <c r="D468" i="2"/>
  <c r="D612" i="2"/>
  <c r="D820" i="2"/>
  <c r="D85" i="2"/>
  <c r="D229" i="2"/>
  <c r="D6" i="2"/>
  <c r="D86" i="2"/>
  <c r="D166" i="2"/>
  <c r="D182" i="2"/>
  <c r="D198" i="2"/>
  <c r="D214" i="2"/>
  <c r="D230" i="2"/>
  <c r="D246" i="2"/>
  <c r="D262" i="2"/>
  <c r="D278" i="2"/>
  <c r="D294" i="2"/>
  <c r="D310" i="2"/>
  <c r="D326" i="2"/>
  <c r="D342" i="2"/>
  <c r="D358" i="2"/>
  <c r="D374" i="2"/>
  <c r="D390" i="2"/>
  <c r="D406" i="2"/>
  <c r="D422" i="2"/>
  <c r="D438" i="2"/>
  <c r="D454" i="2"/>
  <c r="D470" i="2"/>
  <c r="D486" i="2"/>
  <c r="D502" i="2"/>
  <c r="D518" i="2"/>
  <c r="D534" i="2"/>
  <c r="D550" i="2"/>
  <c r="D566" i="2"/>
  <c r="D582" i="2"/>
  <c r="D598" i="2"/>
  <c r="D614" i="2"/>
  <c r="D630" i="2"/>
  <c r="D646" i="2"/>
  <c r="D662" i="2"/>
  <c r="D678" i="2"/>
  <c r="D694" i="2"/>
  <c r="D710" i="2"/>
  <c r="D726" i="2"/>
  <c r="D742" i="2"/>
  <c r="D758" i="2"/>
  <c r="D774" i="2"/>
  <c r="D790" i="2"/>
  <c r="D806" i="2"/>
  <c r="D822" i="2"/>
  <c r="D838" i="2"/>
  <c r="D854" i="2"/>
  <c r="D870" i="2"/>
  <c r="D886" i="2"/>
  <c r="D902" i="2"/>
  <c r="D918" i="2"/>
  <c r="D934" i="2"/>
  <c r="D950" i="2"/>
  <c r="D966" i="2"/>
  <c r="D982" i="2"/>
  <c r="D998" i="2"/>
  <c r="D1014" i="2"/>
  <c r="D1030" i="2"/>
  <c r="D1046" i="2"/>
  <c r="D1062" i="2"/>
  <c r="D1078" i="2"/>
  <c r="D1094" i="2"/>
  <c r="D1110" i="2"/>
  <c r="D1126" i="2"/>
  <c r="D1142" i="2"/>
  <c r="D1158" i="2"/>
  <c r="D1174" i="2"/>
  <c r="D1190" i="2"/>
  <c r="D1206" i="2"/>
  <c r="D1222" i="2"/>
  <c r="D1238" i="2"/>
  <c r="D1254" i="2"/>
  <c r="D1270" i="2"/>
  <c r="D1286" i="2"/>
  <c r="D1302" i="2"/>
  <c r="D1318" i="2"/>
  <c r="D1334" i="2"/>
  <c r="D1350" i="2"/>
  <c r="D1366" i="2"/>
  <c r="D1382" i="2"/>
  <c r="D67" i="2"/>
  <c r="D100" i="2"/>
  <c r="D212" i="2"/>
  <c r="D292" i="2"/>
  <c r="D420" i="2"/>
  <c r="D564" i="2"/>
  <c r="D772" i="2"/>
  <c r="D53" i="2"/>
  <c r="D149" i="2"/>
  <c r="D245" i="2"/>
  <c r="D22" i="2"/>
  <c r="D102" i="2"/>
  <c r="D71" i="2"/>
  <c r="D167" i="2"/>
  <c r="D35" i="2"/>
  <c r="D132" i="2"/>
  <c r="D260" i="2"/>
  <c r="D356" i="2"/>
  <c r="D452" i="2"/>
  <c r="D532" i="2"/>
  <c r="D644" i="2"/>
  <c r="D724" i="2"/>
  <c r="D5" i="2"/>
  <c r="D101" i="2"/>
  <c r="D165" i="2"/>
  <c r="D309" i="2"/>
  <c r="D54" i="2"/>
  <c r="D134" i="2"/>
  <c r="D7" i="2"/>
  <c r="D55" i="2"/>
  <c r="D119" i="2"/>
  <c r="D183" i="2"/>
  <c r="D231" i="2"/>
  <c r="D24" i="2"/>
  <c r="D56" i="2"/>
  <c r="D72" i="2"/>
  <c r="D88" i="2"/>
  <c r="D104" i="2"/>
  <c r="D120" i="2"/>
  <c r="D136" i="2"/>
  <c r="D152" i="2"/>
  <c r="D168" i="2"/>
  <c r="D184" i="2"/>
  <c r="D200" i="2"/>
  <c r="D216" i="2"/>
  <c r="D232" i="2"/>
  <c r="D248" i="2"/>
  <c r="D264" i="2"/>
  <c r="D280" i="2"/>
  <c r="D296" i="2"/>
  <c r="D312" i="2"/>
  <c r="D328" i="2"/>
  <c r="D344" i="2"/>
  <c r="D360" i="2"/>
  <c r="D376" i="2"/>
  <c r="D392" i="2"/>
  <c r="D408" i="2"/>
  <c r="D424" i="2"/>
  <c r="D440" i="2"/>
  <c r="D456" i="2"/>
  <c r="D472" i="2"/>
  <c r="D488" i="2"/>
  <c r="D504" i="2"/>
  <c r="D520" i="2"/>
  <c r="D536" i="2"/>
  <c r="D552" i="2"/>
  <c r="D568" i="2"/>
  <c r="D584" i="2"/>
  <c r="D600" i="2"/>
  <c r="D616" i="2"/>
  <c r="D632" i="2"/>
  <c r="D648" i="2"/>
  <c r="D664" i="2"/>
  <c r="D680" i="2"/>
  <c r="D696" i="2"/>
  <c r="D712" i="2"/>
  <c r="D728" i="2"/>
  <c r="D744" i="2"/>
  <c r="D760" i="2"/>
  <c r="D776" i="2"/>
  <c r="D792" i="2"/>
  <c r="D808" i="2"/>
  <c r="D824" i="2"/>
  <c r="D840" i="2"/>
  <c r="D856" i="2"/>
  <c r="D872" i="2"/>
  <c r="D888" i="2"/>
  <c r="D904" i="2"/>
  <c r="D920" i="2"/>
  <c r="D936" i="2"/>
  <c r="D952" i="2"/>
  <c r="D968" i="2"/>
  <c r="D984" i="2"/>
  <c r="D1000" i="2"/>
  <c r="D1016" i="2"/>
  <c r="D1032" i="2"/>
  <c r="D1048" i="2"/>
  <c r="D1064" i="2"/>
  <c r="D1080" i="2"/>
  <c r="D1096" i="2"/>
  <c r="D1112" i="2"/>
  <c r="D1128" i="2"/>
  <c r="D51" i="2"/>
  <c r="D116" i="2"/>
  <c r="D244" i="2"/>
  <c r="D372" i="2"/>
  <c r="D484" i="2"/>
  <c r="D580" i="2"/>
  <c r="D740" i="2"/>
  <c r="D21" i="2"/>
  <c r="D133" i="2"/>
  <c r="D213" i="2"/>
  <c r="D277" i="2"/>
  <c r="D38" i="2"/>
  <c r="D118" i="2"/>
  <c r="D23" i="2"/>
  <c r="D87" i="2"/>
  <c r="D135" i="2"/>
  <c r="D215" i="2"/>
  <c r="D8" i="2"/>
  <c r="D40" i="2"/>
  <c r="D9" i="2"/>
  <c r="D25" i="2"/>
  <c r="D41" i="2"/>
  <c r="D57" i="2"/>
  <c r="D73" i="2"/>
  <c r="D89" i="2"/>
  <c r="D105" i="2"/>
  <c r="D121" i="2"/>
  <c r="D137" i="2"/>
  <c r="D153" i="2"/>
  <c r="D169" i="2"/>
  <c r="D185" i="2"/>
  <c r="D201" i="2"/>
  <c r="D217" i="2"/>
  <c r="D233" i="2"/>
  <c r="D249" i="2"/>
  <c r="D265" i="2"/>
  <c r="D281" i="2"/>
  <c r="D297" i="2"/>
  <c r="D313" i="2"/>
  <c r="D329" i="2"/>
  <c r="D345" i="2"/>
  <c r="D361" i="2"/>
  <c r="D377" i="2"/>
  <c r="D393" i="2"/>
  <c r="D409" i="2"/>
  <c r="D425" i="2"/>
  <c r="D441" i="2"/>
  <c r="D457" i="2"/>
  <c r="D473" i="2"/>
  <c r="D489" i="2"/>
  <c r="D505" i="2"/>
  <c r="D521" i="2"/>
  <c r="D537" i="2"/>
  <c r="D553" i="2"/>
  <c r="D569" i="2"/>
  <c r="D585" i="2"/>
  <c r="D601" i="2"/>
  <c r="D617" i="2"/>
  <c r="D633" i="2"/>
  <c r="D649" i="2"/>
  <c r="D665" i="2"/>
  <c r="D681" i="2"/>
  <c r="D697" i="2"/>
  <c r="D713" i="2"/>
  <c r="D729" i="2"/>
  <c r="D745" i="2"/>
  <c r="D761" i="2"/>
  <c r="D777" i="2"/>
  <c r="D793" i="2"/>
  <c r="D809" i="2"/>
  <c r="D825" i="2"/>
  <c r="D841" i="2"/>
  <c r="D857" i="2"/>
  <c r="D873" i="2"/>
  <c r="D889" i="2"/>
  <c r="D905" i="2"/>
  <c r="D921" i="2"/>
  <c r="D937" i="2"/>
  <c r="D953" i="2"/>
  <c r="D969" i="2"/>
  <c r="D985" i="2"/>
  <c r="D1001" i="2"/>
  <c r="D1017" i="2"/>
  <c r="D1033" i="2"/>
  <c r="D1049" i="2"/>
  <c r="D1065" i="2"/>
  <c r="D1081" i="2"/>
  <c r="D1097" i="2"/>
  <c r="D148" i="2"/>
  <c r="D276" i="2"/>
  <c r="D388" i="2"/>
  <c r="D500" i="2"/>
  <c r="D596" i="2"/>
  <c r="D788" i="2"/>
  <c r="D37" i="2"/>
  <c r="D117" i="2"/>
  <c r="D197" i="2"/>
  <c r="D293" i="2"/>
  <c r="D70" i="2"/>
  <c r="D150" i="2"/>
  <c r="D39" i="2"/>
  <c r="D103" i="2"/>
  <c r="D151" i="2"/>
  <c r="D199" i="2"/>
  <c r="D163" i="2"/>
  <c r="D20" i="2"/>
  <c r="D604" i="2"/>
  <c r="D147" i="2"/>
  <c r="D52" i="2"/>
  <c r="D12" i="2"/>
  <c r="D28" i="2"/>
  <c r="D60" i="2"/>
  <c r="D76" i="2"/>
  <c r="D92" i="2"/>
  <c r="D108" i="2"/>
  <c r="D124" i="2"/>
  <c r="D140" i="2"/>
  <c r="D156" i="2"/>
  <c r="D172" i="2"/>
  <c r="D188" i="2"/>
  <c r="D204" i="2"/>
  <c r="D220" i="2"/>
  <c r="D236" i="2"/>
  <c r="D252" i="2"/>
  <c r="D268" i="2"/>
  <c r="D284" i="2"/>
  <c r="D300" i="2"/>
  <c r="D316" i="2"/>
  <c r="D332" i="2"/>
  <c r="D348" i="2"/>
  <c r="D364" i="2"/>
  <c r="D380" i="2"/>
  <c r="D412" i="2"/>
  <c r="D428" i="2"/>
  <c r="D444" i="2"/>
  <c r="D460" i="2"/>
  <c r="D476" i="2"/>
  <c r="D492" i="2"/>
  <c r="D508" i="2"/>
  <c r="D524" i="2"/>
  <c r="D540" i="2"/>
  <c r="D556" i="2"/>
  <c r="D572" i="2"/>
  <c r="D588" i="2"/>
  <c r="D620" i="2"/>
  <c r="D636" i="2"/>
  <c r="D652" i="2"/>
  <c r="D668" i="2"/>
  <c r="D684" i="2"/>
  <c r="D700" i="2"/>
  <c r="D716" i="2"/>
  <c r="D732" i="2"/>
  <c r="D748" i="2"/>
  <c r="D764" i="2"/>
  <c r="D780" i="2"/>
  <c r="D796" i="2"/>
  <c r="D812" i="2"/>
  <c r="D828" i="2"/>
  <c r="D844" i="2"/>
  <c r="D860" i="2"/>
  <c r="D876" i="2"/>
  <c r="D892" i="2"/>
  <c r="D908" i="2"/>
  <c r="D924" i="2"/>
  <c r="D940" i="2"/>
  <c r="D956" i="2"/>
  <c r="D972" i="2"/>
  <c r="D988" i="2"/>
  <c r="D1004" i="2"/>
  <c r="D1020" i="2"/>
  <c r="D1036" i="2"/>
  <c r="D1052" i="2"/>
  <c r="D1068" i="2"/>
  <c r="D1084" i="2"/>
  <c r="D1100" i="2"/>
  <c r="D1116" i="2"/>
  <c r="D83" i="2"/>
  <c r="D4" i="2"/>
  <c r="D45" i="2"/>
  <c r="D115" i="2"/>
  <c r="D164" i="2"/>
  <c r="D3" i="2"/>
  <c r="D36" i="2"/>
  <c r="D15" i="2"/>
  <c r="D31" i="2"/>
  <c r="D47" i="2"/>
  <c r="D63" i="2"/>
  <c r="D79" i="2"/>
  <c r="D95" i="2"/>
  <c r="D111" i="2"/>
  <c r="D127" i="2"/>
  <c r="D143" i="2"/>
  <c r="D175" i="2"/>
  <c r="D191" i="2"/>
  <c r="D207" i="2"/>
  <c r="D223" i="2"/>
  <c r="D239" i="2"/>
  <c r="D255" i="2"/>
  <c r="D271" i="2"/>
  <c r="D287" i="2"/>
  <c r="D303" i="2"/>
  <c r="D319" i="2"/>
  <c r="D335" i="2"/>
  <c r="D351" i="2"/>
  <c r="D367" i="2"/>
  <c r="D383" i="2"/>
  <c r="D399" i="2"/>
  <c r="D415" i="2"/>
  <c r="D431" i="2"/>
  <c r="D447" i="2"/>
  <c r="D463" i="2"/>
  <c r="D479" i="2"/>
  <c r="D495" i="2"/>
  <c r="D511" i="2"/>
  <c r="D527" i="2"/>
  <c r="D543" i="2"/>
  <c r="D559" i="2"/>
  <c r="D575" i="2"/>
  <c r="D591" i="2"/>
  <c r="D607" i="2"/>
  <c r="D623" i="2"/>
  <c r="D639" i="2"/>
  <c r="D655" i="2"/>
  <c r="D671" i="2"/>
  <c r="D687" i="2"/>
  <c r="D703" i="2"/>
  <c r="D719" i="2"/>
  <c r="D735" i="2"/>
  <c r="D751" i="2"/>
  <c r="D767" i="2"/>
  <c r="D783" i="2"/>
  <c r="D799" i="2"/>
  <c r="D815" i="2"/>
  <c r="D831" i="2"/>
  <c r="D847" i="2"/>
  <c r="D863" i="2"/>
  <c r="D879" i="2"/>
  <c r="D895" i="2"/>
  <c r="D911" i="2"/>
  <c r="D927" i="2"/>
  <c r="D943" i="2"/>
  <c r="D959" i="2"/>
  <c r="D975" i="2"/>
  <c r="D991" i="2"/>
  <c r="D1457" i="2"/>
  <c r="D1473" i="2"/>
  <c r="D1489" i="2"/>
  <c r="D1505" i="2"/>
  <c r="D1521" i="2"/>
  <c r="D1537" i="2"/>
  <c r="D1553" i="2"/>
  <c r="D1569" i="2"/>
  <c r="D1585" i="2"/>
  <c r="D1601" i="2"/>
  <c r="D1617" i="2"/>
  <c r="D1633" i="2"/>
  <c r="D1649" i="2"/>
  <c r="D1665" i="2"/>
  <c r="D1681" i="2"/>
  <c r="D1697" i="2"/>
  <c r="D1713" i="2"/>
  <c r="D1729" i="2"/>
  <c r="D1745" i="2"/>
  <c r="D1761" i="2"/>
  <c r="D1777" i="2"/>
  <c r="D1793" i="2"/>
  <c r="D1809" i="2"/>
  <c r="D1825" i="2"/>
  <c r="D1841" i="2"/>
  <c r="D1857" i="2"/>
  <c r="D1873" i="2"/>
  <c r="D1889" i="2"/>
  <c r="D1905" i="2"/>
  <c r="D1921" i="2"/>
  <c r="D1937" i="2"/>
  <c r="D1953" i="2"/>
  <c r="D1969" i="2"/>
  <c r="D1985" i="2"/>
  <c r="D2001" i="2"/>
  <c r="D2017" i="2"/>
  <c r="D2033" i="2"/>
  <c r="D2049" i="2"/>
  <c r="D2065" i="2"/>
  <c r="D2081" i="2"/>
  <c r="D2097" i="2"/>
  <c r="D2113" i="2"/>
  <c r="D2129" i="2"/>
  <c r="D2145" i="2"/>
  <c r="D2161" i="2"/>
  <c r="D2177" i="2"/>
  <c r="D2193" i="2"/>
  <c r="D2209" i="2"/>
  <c r="D2225" i="2"/>
  <c r="D2241" i="2"/>
  <c r="D2257" i="2"/>
  <c r="D2273" i="2"/>
  <c r="D2289" i="2"/>
  <c r="D2305" i="2"/>
  <c r="D2321" i="2"/>
  <c r="D2337" i="2"/>
  <c r="D2353" i="2"/>
  <c r="D2369" i="2"/>
  <c r="D2385" i="2"/>
  <c r="D2401" i="2"/>
  <c r="D2417" i="2"/>
  <c r="D2433" i="2"/>
  <c r="D2449" i="2"/>
  <c r="D2465" i="2"/>
  <c r="D2481" i="2"/>
  <c r="D2497" i="2"/>
  <c r="D2513" i="2"/>
  <c r="D2529" i="2"/>
  <c r="D1492" i="2"/>
  <c r="D1508" i="2"/>
  <c r="D1524" i="2"/>
  <c r="D1540" i="2"/>
  <c r="D1556" i="2"/>
  <c r="D1572" i="2"/>
  <c r="D1588" i="2"/>
  <c r="D1604" i="2"/>
  <c r="D1620" i="2"/>
  <c r="D1652" i="2"/>
  <c r="D1668" i="2"/>
  <c r="D1684" i="2"/>
  <c r="D1700" i="2"/>
  <c r="D1716" i="2"/>
  <c r="D1732" i="2"/>
  <c r="D1748" i="2"/>
  <c r="D1764" i="2"/>
  <c r="D1780" i="2"/>
  <c r="D1796" i="2"/>
  <c r="D1812" i="2"/>
  <c r="D1828" i="2"/>
  <c r="D1844" i="2"/>
  <c r="D1860" i="2"/>
  <c r="D1876" i="2"/>
  <c r="D1892" i="2"/>
  <c r="D1908" i="2"/>
  <c r="D1924" i="2"/>
  <c r="D1940" i="2"/>
  <c r="D1956" i="2"/>
  <c r="D1972" i="2"/>
  <c r="D1988" i="2"/>
  <c r="D2004" i="2"/>
  <c r="D2020" i="2"/>
  <c r="D2036" i="2"/>
  <c r="D2052" i="2"/>
  <c r="D2068" i="2"/>
  <c r="D2084" i="2"/>
  <c r="D2100" i="2"/>
  <c r="D2116" i="2"/>
  <c r="D2132" i="2"/>
  <c r="D2148" i="2"/>
  <c r="D2164" i="2"/>
  <c r="D2180" i="2"/>
  <c r="D2196" i="2"/>
  <c r="D2212" i="2"/>
  <c r="D2228" i="2"/>
  <c r="D2244" i="2"/>
  <c r="D2260" i="2"/>
  <c r="D2276" i="2"/>
  <c r="D2292" i="2"/>
  <c r="D2308" i="2"/>
  <c r="D2324" i="2"/>
  <c r="D2340" i="2"/>
  <c r="D2356" i="2"/>
  <c r="D2372" i="2"/>
  <c r="D2388" i="2"/>
  <c r="D2404" i="2"/>
  <c r="D2420" i="2"/>
  <c r="D2436" i="2"/>
  <c r="D2452" i="2"/>
  <c r="D2468" i="2"/>
  <c r="D2484" i="2"/>
  <c r="D2500" i="2"/>
  <c r="D2516" i="2"/>
  <c r="D2532" i="2"/>
  <c r="D1429" i="2"/>
  <c r="D1445" i="2"/>
  <c r="D1477" i="2"/>
  <c r="D1493" i="2"/>
  <c r="D1509" i="2"/>
  <c r="D1525" i="2"/>
  <c r="D1541" i="2"/>
  <c r="D1557" i="2"/>
  <c r="D1573" i="2"/>
  <c r="D1589" i="2"/>
  <c r="D1605" i="2"/>
  <c r="D1621" i="2"/>
  <c r="D1637" i="2"/>
  <c r="D1653" i="2"/>
  <c r="D1669" i="2"/>
  <c r="D1685" i="2"/>
  <c r="D1701" i="2"/>
  <c r="D1733" i="2"/>
  <c r="D1749" i="2"/>
  <c r="D1765" i="2"/>
  <c r="D1781" i="2"/>
  <c r="D1797" i="2"/>
  <c r="D1813" i="2"/>
  <c r="D1829" i="2"/>
  <c r="D1845" i="2"/>
  <c r="D1861" i="2"/>
  <c r="D1877" i="2"/>
  <c r="D1893" i="2"/>
  <c r="D1909" i="2"/>
  <c r="D1925" i="2"/>
  <c r="D1941" i="2"/>
  <c r="D1957" i="2"/>
  <c r="D1973" i="2"/>
  <c r="D1989" i="2"/>
  <c r="D2005" i="2"/>
  <c r="D2021" i="2"/>
  <c r="D2037" i="2"/>
  <c r="D2053" i="2"/>
  <c r="D2069" i="2"/>
  <c r="D2085" i="2"/>
  <c r="D2101" i="2"/>
  <c r="D2117" i="2"/>
  <c r="D2133" i="2"/>
  <c r="D2149" i="2"/>
  <c r="D2165" i="2"/>
  <c r="D2181" i="2"/>
  <c r="D2197" i="2"/>
  <c r="D2213" i="2"/>
  <c r="D2229" i="2"/>
  <c r="D2245" i="2"/>
  <c r="D2261" i="2"/>
  <c r="D2277" i="2"/>
  <c r="D2293" i="2"/>
  <c r="D2309" i="2"/>
  <c r="D2325" i="2"/>
  <c r="D2341" i="2"/>
  <c r="D2357" i="2"/>
  <c r="D2373" i="2"/>
  <c r="D2389" i="2"/>
  <c r="D2405" i="2"/>
  <c r="D2421" i="2"/>
  <c r="D2437" i="2"/>
  <c r="D2453" i="2"/>
  <c r="D2469" i="2"/>
  <c r="D2485" i="2"/>
  <c r="D2501" i="2"/>
  <c r="D2517" i="2"/>
  <c r="D2533" i="2"/>
  <c r="D1398" i="2"/>
  <c r="D1414" i="2"/>
  <c r="D1430" i="2"/>
  <c r="D1446" i="2"/>
  <c r="D1462" i="2"/>
  <c r="D1478" i="2"/>
  <c r="D1494" i="2"/>
  <c r="D1510" i="2"/>
  <c r="D1526" i="2"/>
  <c r="D1542" i="2"/>
  <c r="D1558" i="2"/>
  <c r="D1574" i="2"/>
  <c r="D1590" i="2"/>
  <c r="D1606" i="2"/>
  <c r="D1622" i="2"/>
  <c r="D1638" i="2"/>
  <c r="D1654" i="2"/>
  <c r="D1670" i="2"/>
  <c r="D1686" i="2"/>
  <c r="D1702" i="2"/>
  <c r="D1718" i="2"/>
  <c r="D1734" i="2"/>
  <c r="D1750" i="2"/>
  <c r="D1766" i="2"/>
  <c r="D1782" i="2"/>
  <c r="D1798" i="2"/>
  <c r="D1814" i="2"/>
  <c r="D1830" i="2"/>
  <c r="D1846" i="2"/>
  <c r="D1862" i="2"/>
  <c r="D1878" i="2"/>
  <c r="D1894" i="2"/>
  <c r="D1910" i="2"/>
  <c r="D1926" i="2"/>
  <c r="D1942" i="2"/>
  <c r="D1958" i="2"/>
  <c r="D1974" i="2"/>
  <c r="D1990" i="2"/>
  <c r="D2006" i="2"/>
  <c r="D2022" i="2"/>
  <c r="D2038" i="2"/>
  <c r="D2054" i="2"/>
  <c r="D2070" i="2"/>
  <c r="D2086" i="2"/>
  <c r="D2102" i="2"/>
  <c r="D2118" i="2"/>
  <c r="D2134" i="2"/>
  <c r="D2150" i="2"/>
  <c r="D2166" i="2"/>
  <c r="D2182" i="2"/>
  <c r="D2198" i="2"/>
  <c r="D2214" i="2"/>
  <c r="D2230" i="2"/>
  <c r="D2246" i="2"/>
  <c r="D2262" i="2"/>
  <c r="D2278" i="2"/>
  <c r="D2294" i="2"/>
  <c r="D2310" i="2"/>
  <c r="D2326" i="2"/>
  <c r="D2342" i="2"/>
  <c r="D2358" i="2"/>
  <c r="D2374" i="2"/>
  <c r="D2390" i="2"/>
  <c r="D2406" i="2"/>
  <c r="D2422" i="2"/>
  <c r="D2438" i="2"/>
  <c r="D2454" i="2"/>
  <c r="D2470" i="2"/>
  <c r="D2486" i="2"/>
  <c r="D2502" i="2"/>
  <c r="D2518" i="2"/>
  <c r="D2534" i="2"/>
  <c r="D2295" i="2"/>
  <c r="D2311" i="2"/>
  <c r="D2327" i="2"/>
  <c r="D2343" i="2"/>
  <c r="D2359" i="2"/>
  <c r="D2375" i="2"/>
  <c r="D2391" i="2"/>
  <c r="D2407" i="2"/>
  <c r="D2423" i="2"/>
  <c r="D2439" i="2"/>
  <c r="D2455" i="2"/>
  <c r="D2471" i="2"/>
  <c r="D2487" i="2"/>
  <c r="D2503" i="2"/>
  <c r="D2519" i="2"/>
  <c r="D2535" i="2"/>
  <c r="D2551" i="2"/>
  <c r="D1144" i="2"/>
  <c r="D1160" i="2"/>
  <c r="D1176" i="2"/>
  <c r="D1192" i="2"/>
  <c r="D1208" i="2"/>
  <c r="D1224" i="2"/>
  <c r="D1240" i="2"/>
  <c r="D1256" i="2"/>
  <c r="D1272" i="2"/>
  <c r="D1288" i="2"/>
  <c r="D1304" i="2"/>
  <c r="D1320" i="2"/>
  <c r="D1336" i="2"/>
  <c r="D1352" i="2"/>
  <c r="D1368" i="2"/>
  <c r="D1384" i="2"/>
  <c r="D1400" i="2"/>
  <c r="D1416" i="2"/>
  <c r="D1432" i="2"/>
  <c r="D1448" i="2"/>
  <c r="D1464" i="2"/>
  <c r="D1480" i="2"/>
  <c r="D1496" i="2"/>
  <c r="D1512" i="2"/>
  <c r="D1528" i="2"/>
  <c r="D1544" i="2"/>
  <c r="D1560" i="2"/>
  <c r="D1576" i="2"/>
  <c r="D1592" i="2"/>
  <c r="D1608" i="2"/>
  <c r="D1624" i="2"/>
  <c r="D1640" i="2"/>
  <c r="D1656" i="2"/>
  <c r="D1672" i="2"/>
  <c r="D1688" i="2"/>
  <c r="D1704" i="2"/>
  <c r="D1720" i="2"/>
  <c r="D1736" i="2"/>
  <c r="D1752" i="2"/>
  <c r="D1768" i="2"/>
  <c r="D1784" i="2"/>
  <c r="D1800" i="2"/>
  <c r="D1816" i="2"/>
  <c r="D1832" i="2"/>
  <c r="D1848" i="2"/>
  <c r="D1864" i="2"/>
  <c r="D1880" i="2"/>
  <c r="D1896" i="2"/>
  <c r="D1912" i="2"/>
  <c r="D1928" i="2"/>
  <c r="D1944" i="2"/>
  <c r="D1960" i="2"/>
  <c r="D1976" i="2"/>
  <c r="D1992" i="2"/>
  <c r="D2008" i="2"/>
  <c r="D2024" i="2"/>
  <c r="D2040" i="2"/>
  <c r="D2056" i="2"/>
  <c r="D2072" i="2"/>
  <c r="D2088" i="2"/>
  <c r="D2104" i="2"/>
  <c r="D2120" i="2"/>
  <c r="D2136" i="2"/>
  <c r="D2152" i="2"/>
  <c r="D2168" i="2"/>
  <c r="D2184" i="2"/>
  <c r="D2200" i="2"/>
  <c r="D2216" i="2"/>
  <c r="D2232" i="2"/>
  <c r="D2248" i="2"/>
  <c r="D2264" i="2"/>
  <c r="D2280" i="2"/>
  <c r="D2296" i="2"/>
  <c r="D2312" i="2"/>
  <c r="D2328" i="2"/>
  <c r="D2344" i="2"/>
  <c r="D2360" i="2"/>
  <c r="D2376" i="2"/>
  <c r="D2392" i="2"/>
  <c r="D2408" i="2"/>
  <c r="D2424" i="2"/>
  <c r="D2440" i="2"/>
  <c r="D2456" i="2"/>
  <c r="D2472" i="2"/>
  <c r="D2488" i="2"/>
  <c r="D2504" i="2"/>
  <c r="D2520" i="2"/>
  <c r="D2536" i="2"/>
  <c r="D2552" i="2"/>
  <c r="D1113" i="2"/>
  <c r="D1129" i="2"/>
  <c r="D1145" i="2"/>
  <c r="D1161" i="2"/>
  <c r="D1177" i="2"/>
  <c r="D1193" i="2"/>
  <c r="D1209" i="2"/>
  <c r="D1225" i="2"/>
  <c r="D1241" i="2"/>
  <c r="D1257" i="2"/>
  <c r="D1273" i="2"/>
  <c r="D1289" i="2"/>
  <c r="D1305" i="2"/>
  <c r="D1321" i="2"/>
  <c r="D1337" i="2"/>
  <c r="D1353" i="2"/>
  <c r="D1369" i="2"/>
  <c r="D1385" i="2"/>
  <c r="D1401" i="2"/>
  <c r="D1417" i="2"/>
  <c r="D1433" i="2"/>
  <c r="D1449" i="2"/>
  <c r="D1465" i="2"/>
  <c r="D1481" i="2"/>
  <c r="D1497" i="2"/>
  <c r="D1513" i="2"/>
  <c r="D1529" i="2"/>
  <c r="D1545" i="2"/>
  <c r="D1561" i="2"/>
  <c r="D1577" i="2"/>
  <c r="D1593" i="2"/>
  <c r="D1609" i="2"/>
  <c r="D1625" i="2"/>
  <c r="D1641" i="2"/>
  <c r="D1657" i="2"/>
  <c r="D1673" i="2"/>
  <c r="D1689" i="2"/>
  <c r="D1705" i="2"/>
  <c r="D1721" i="2"/>
  <c r="D1737" i="2"/>
  <c r="D1753" i="2"/>
  <c r="D1769" i="2"/>
  <c r="D1785" i="2"/>
  <c r="D1801" i="2"/>
  <c r="D1817" i="2"/>
  <c r="D1833" i="2"/>
  <c r="D1849" i="2"/>
  <c r="D1865" i="2"/>
  <c r="D1881" i="2"/>
  <c r="D1897" i="2"/>
  <c r="D1913" i="2"/>
  <c r="D1929" i="2"/>
  <c r="D1945" i="2"/>
  <c r="D1961" i="2"/>
  <c r="D1977" i="2"/>
  <c r="D1993" i="2"/>
  <c r="D2009" i="2"/>
  <c r="D2025" i="2"/>
  <c r="D2041" i="2"/>
  <c r="D2057" i="2"/>
  <c r="D2073" i="2"/>
  <c r="D2089" i="2"/>
  <c r="D2105" i="2"/>
  <c r="D2121" i="2"/>
  <c r="D2137" i="2"/>
  <c r="D2153" i="2"/>
  <c r="D2169" i="2"/>
  <c r="D2185" i="2"/>
  <c r="D2201" i="2"/>
  <c r="D2217" i="2"/>
  <c r="D2233" i="2"/>
  <c r="D2249" i="2"/>
  <c r="D2265" i="2"/>
  <c r="D2281" i="2"/>
  <c r="D2297" i="2"/>
  <c r="D2313" i="2"/>
  <c r="D2329" i="2"/>
  <c r="D2345" i="2"/>
  <c r="D2361" i="2"/>
  <c r="D2377" i="2"/>
  <c r="D2393" i="2"/>
  <c r="D2409" i="2"/>
  <c r="D2425" i="2"/>
  <c r="D2441" i="2"/>
  <c r="D2457" i="2"/>
  <c r="D2473" i="2"/>
  <c r="D2489" i="2"/>
  <c r="D2505" i="2"/>
  <c r="D2521" i="2"/>
  <c r="D2537" i="2"/>
  <c r="D2553" i="2"/>
  <c r="D1132" i="2"/>
  <c r="D1148" i="2"/>
  <c r="D1164" i="2"/>
  <c r="D1180" i="2"/>
  <c r="D1196" i="2"/>
  <c r="D1212" i="2"/>
  <c r="D1228" i="2"/>
  <c r="D1244" i="2"/>
  <c r="D1260" i="2"/>
  <c r="D1276" i="2"/>
  <c r="D1292" i="2"/>
  <c r="D1308" i="2"/>
  <c r="D1324" i="2"/>
  <c r="D1340" i="2"/>
  <c r="D1356" i="2"/>
  <c r="D1372" i="2"/>
  <c r="D1388" i="2"/>
  <c r="D1404" i="2"/>
  <c r="D1420" i="2"/>
  <c r="D1436" i="2"/>
  <c r="D1452" i="2"/>
  <c r="D1468" i="2"/>
  <c r="D1484" i="2"/>
  <c r="D1500" i="2"/>
  <c r="D1516" i="2"/>
  <c r="D1532" i="2"/>
  <c r="D1548" i="2"/>
  <c r="D1564" i="2"/>
  <c r="D1580" i="2"/>
  <c r="D1596" i="2"/>
  <c r="D1612" i="2"/>
  <c r="D1628" i="2"/>
  <c r="D1644" i="2"/>
  <c r="D1660" i="2"/>
  <c r="D1676" i="2"/>
  <c r="D1692" i="2"/>
  <c r="D1708" i="2"/>
  <c r="D1724" i="2"/>
  <c r="D1740" i="2"/>
  <c r="D1756" i="2"/>
  <c r="D1772" i="2"/>
  <c r="D1788" i="2"/>
  <c r="D1804" i="2"/>
  <c r="D1820" i="2"/>
  <c r="D1836" i="2"/>
  <c r="D1852" i="2"/>
  <c r="D1868" i="2"/>
  <c r="D1884" i="2"/>
  <c r="D1900" i="2"/>
  <c r="D1916" i="2"/>
  <c r="D1932" i="2"/>
  <c r="D1948" i="2"/>
  <c r="D1964" i="2"/>
  <c r="D1980" i="2"/>
  <c r="D1996" i="2"/>
  <c r="D2012" i="2"/>
  <c r="D2028" i="2"/>
  <c r="D2044" i="2"/>
  <c r="D2060" i="2"/>
  <c r="D2076" i="2"/>
  <c r="D2092" i="2"/>
  <c r="D2108" i="2"/>
  <c r="D2124" i="2"/>
  <c r="D2140" i="2"/>
  <c r="D2156" i="2"/>
  <c r="D2172" i="2"/>
  <c r="D2188" i="2"/>
  <c r="D2204" i="2"/>
  <c r="D2220" i="2"/>
  <c r="D2236" i="2"/>
  <c r="D2252" i="2"/>
  <c r="D2268" i="2"/>
  <c r="D2284" i="2"/>
  <c r="D2300" i="2"/>
  <c r="D2316" i="2"/>
  <c r="D2332" i="2"/>
  <c r="D2348" i="2"/>
  <c r="D2364" i="2"/>
  <c r="D2380" i="2"/>
  <c r="D2396" i="2"/>
  <c r="D2412" i="2"/>
  <c r="D2428" i="2"/>
  <c r="D2444" i="2"/>
  <c r="D2460" i="2"/>
  <c r="D2476" i="2"/>
  <c r="D2492" i="2"/>
  <c r="D2508" i="2"/>
  <c r="D2524" i="2"/>
  <c r="D2540" i="2"/>
  <c r="D2556" i="2"/>
  <c r="D1181" i="2"/>
  <c r="D1197" i="2"/>
  <c r="D1213" i="2"/>
  <c r="D1229" i="2"/>
  <c r="D1245" i="2"/>
  <c r="D1261" i="2"/>
  <c r="D1277" i="2"/>
  <c r="D1293" i="2"/>
  <c r="D1389" i="2"/>
  <c r="D2317" i="2"/>
  <c r="D2333" i="2"/>
  <c r="D2349" i="2"/>
  <c r="D2365" i="2"/>
  <c r="D2381" i="2"/>
  <c r="D2397" i="2"/>
  <c r="D2413" i="2"/>
  <c r="D2429" i="2"/>
  <c r="D2445" i="2"/>
  <c r="D2461" i="2"/>
  <c r="D2477" i="2"/>
  <c r="D2493" i="2"/>
  <c r="D2509" i="2"/>
  <c r="D2525" i="2"/>
  <c r="D2541" i="2"/>
  <c r="D2557" i="2"/>
  <c r="D1007" i="2"/>
  <c r="D1023" i="2"/>
  <c r="D1039" i="2"/>
  <c r="D1055" i="2"/>
  <c r="D1071" i="2"/>
  <c r="D1087" i="2"/>
  <c r="D1103" i="2"/>
  <c r="D1119" i="2"/>
  <c r="D1135" i="2"/>
  <c r="D1151" i="2"/>
  <c r="D1167" i="2"/>
  <c r="D1183" i="2"/>
  <c r="D1199" i="2"/>
  <c r="D1215" i="2"/>
  <c r="D1231" i="2"/>
  <c r="D1247" i="2"/>
  <c r="D1263" i="2"/>
  <c r="D1279" i="2"/>
  <c r="D1295" i="2"/>
  <c r="D1311" i="2"/>
  <c r="D1327" i="2"/>
  <c r="D1343" i="2"/>
  <c r="D1359" i="2"/>
  <c r="D1375" i="2"/>
  <c r="D1391" i="2"/>
  <c r="D1407" i="2"/>
  <c r="D1423" i="2"/>
  <c r="D1439" i="2"/>
  <c r="D1455" i="2"/>
  <c r="D1471" i="2"/>
  <c r="D1487" i="2"/>
  <c r="D1503" i="2"/>
  <c r="D1519" i="2"/>
  <c r="D1535" i="2"/>
  <c r="D1551" i="2"/>
  <c r="D1567" i="2"/>
  <c r="D1583" i="2"/>
  <c r="D1599" i="2"/>
  <c r="D1615" i="2"/>
  <c r="D1631" i="2"/>
  <c r="D1647" i="2"/>
  <c r="D1663" i="2"/>
  <c r="D1679" i="2"/>
  <c r="D1695" i="2"/>
  <c r="D1711" i="2"/>
  <c r="D1727" i="2"/>
  <c r="D1743" i="2"/>
  <c r="D1759" i="2"/>
  <c r="D1775" i="2"/>
  <c r="D1791" i="2"/>
  <c r="D1807" i="2"/>
  <c r="D1823" i="2"/>
  <c r="D1839" i="2"/>
  <c r="D1855" i="2"/>
  <c r="D1871" i="2"/>
  <c r="D1887" i="2"/>
  <c r="D1903" i="2"/>
  <c r="D1919" i="2"/>
  <c r="D1935" i="2"/>
  <c r="D1951" i="2"/>
  <c r="D1967" i="2"/>
  <c r="D1983" i="2"/>
  <c r="D1999" i="2"/>
  <c r="D2015" i="2"/>
  <c r="D2031" i="2"/>
  <c r="D2047" i="2"/>
  <c r="D2063" i="2"/>
  <c r="D2079" i="2"/>
  <c r="D2095" i="2"/>
  <c r="D2111" i="2"/>
  <c r="D2127" i="2"/>
  <c r="D2143" i="2"/>
  <c r="D2159" i="2"/>
  <c r="D2175" i="2"/>
  <c r="D2191" i="2"/>
  <c r="D2207" i="2"/>
  <c r="D2223" i="2"/>
  <c r="D2239" i="2"/>
  <c r="D2255" i="2"/>
  <c r="D2271" i="2"/>
  <c r="D2287" i="2"/>
  <c r="D2303" i="2"/>
  <c r="D2319" i="2"/>
  <c r="D2335" i="2"/>
  <c r="D2351" i="2"/>
  <c r="D2367" i="2"/>
  <c r="D2383" i="2"/>
  <c r="D2399" i="2"/>
  <c r="D2415" i="2"/>
  <c r="D2431" i="2"/>
  <c r="D2447" i="2"/>
  <c r="D2463" i="2"/>
  <c r="D2479" i="2"/>
  <c r="D2495" i="2"/>
  <c r="D2511" i="2"/>
  <c r="D2527" i="2"/>
  <c r="D2543" i="2"/>
  <c r="J2" i="2" l="1"/>
  <c r="J4" i="2" s="1"/>
  <c r="J6" i="2"/>
  <c r="J7" i="2" s="1"/>
  <c r="M4" i="2" l="1"/>
  <c r="M20" i="2"/>
  <c r="M5" i="2"/>
  <c r="M6" i="2"/>
  <c r="M7" i="2"/>
  <c r="M23" i="2"/>
  <c r="M8" i="2"/>
  <c r="M24" i="2"/>
  <c r="M9" i="2"/>
  <c r="M10" i="2"/>
  <c r="M11" i="2"/>
  <c r="M12" i="2"/>
  <c r="M13" i="2"/>
  <c r="M14" i="2"/>
  <c r="M15" i="2"/>
  <c r="M16" i="2"/>
  <c r="M17" i="2"/>
  <c r="M18" i="2"/>
  <c r="M19" i="2"/>
  <c r="M21" i="2"/>
  <c r="M22" i="2"/>
  <c r="M3" i="2"/>
  <c r="P3" i="2" s="1"/>
  <c r="N4" i="2" s="1"/>
  <c r="P4" i="2" l="1"/>
  <c r="N5" i="2" s="1"/>
  <c r="P5" i="2" s="1"/>
  <c r="N6" i="2" s="1"/>
  <c r="P6" i="2" s="1"/>
  <c r="N7" i="2" s="1"/>
  <c r="P7" i="2" s="1"/>
  <c r="N8" i="2" s="1"/>
  <c r="P8" i="2" s="1"/>
  <c r="N9" i="2" s="1"/>
  <c r="P9" i="2" s="1"/>
  <c r="N10" i="2" s="1"/>
  <c r="P10" i="2" s="1"/>
  <c r="N11" i="2" s="1"/>
  <c r="P11" i="2" s="1"/>
  <c r="N12" i="2" s="1"/>
  <c r="P12" i="2" s="1"/>
  <c r="N13" i="2" s="1"/>
  <c r="P13" i="2" s="1"/>
  <c r="N14" i="2" s="1"/>
  <c r="P14" i="2" s="1"/>
  <c r="N15" i="2" s="1"/>
  <c r="P15" i="2" s="1"/>
  <c r="N16" i="2" s="1"/>
  <c r="P16" i="2" s="1"/>
  <c r="N17" i="2" s="1"/>
  <c r="P17" i="2" s="1"/>
  <c r="N18" i="2" s="1"/>
  <c r="P18" i="2" s="1"/>
  <c r="N19" i="2" s="1"/>
  <c r="P19" i="2" s="1"/>
  <c r="N20" i="2" s="1"/>
  <c r="P20" i="2" s="1"/>
  <c r="N21" i="2" s="1"/>
  <c r="P21" i="2" s="1"/>
  <c r="N22" i="2" s="1"/>
  <c r="P22" i="2" s="1"/>
  <c r="N23" i="2" s="1"/>
  <c r="P23" i="2" s="1"/>
  <c r="N24" i="2" s="1"/>
  <c r="P24" i="2" s="1"/>
</calcChain>
</file>

<file path=xl/sharedStrings.xml><?xml version="1.0" encoding="utf-8"?>
<sst xmlns="http://schemas.openxmlformats.org/spreadsheetml/2006/main" count="24" uniqueCount="24">
  <si>
    <t>Date</t>
  </si>
  <si>
    <t>META</t>
  </si>
  <si>
    <t>LN META</t>
  </si>
  <si>
    <t>Ln Retorno META</t>
  </si>
  <si>
    <t>Retorno Promedio Diario</t>
  </si>
  <si>
    <t>Retorno promedio anualizado</t>
  </si>
  <si>
    <t>Dias anualizacion</t>
  </si>
  <si>
    <t>Desviacion Estandar Diaria</t>
  </si>
  <si>
    <t>Desviacion Estandar Anualizada</t>
  </si>
  <si>
    <t>Periodo</t>
  </si>
  <si>
    <t>Rendimiento %</t>
  </si>
  <si>
    <t>Saldo Inicial USD</t>
  </si>
  <si>
    <t>Retiros USD</t>
  </si>
  <si>
    <t>Saldo Final USD</t>
  </si>
  <si>
    <t>Limite inferior</t>
  </si>
  <si>
    <t>LimiteSuperior</t>
  </si>
  <si>
    <t>Inflacion Promedio Annual</t>
  </si>
  <si>
    <t>Histograma:Valor_final</t>
  </si>
  <si>
    <t>Intervalo</t>
  </si>
  <si>
    <t>Ancho</t>
  </si>
  <si>
    <t>Frecuencia</t>
  </si>
  <si>
    <t>Frecuencia (%)</t>
  </si>
  <si>
    <t>Acumulado</t>
  </si>
  <si>
    <t>Acumulado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</si>
</sst>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yyyy\-mm\-dd\ hh:mm:ss"/>
    <numFmt numFmtId="166" formatCode="_ * #,##0.00_ ;_ * \-#,##0.00_ ;_ * &quot;-&quot;_ ;_ @_ "/>
    <numFmt numFmtId="168" formatCode="_ * #,##0.0000_ ;_ * \-#,##0.000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41" fontId="0" fillId="0" borderId="0" xfId="1" applyFont="1"/>
    <xf numFmtId="168" fontId="0" fillId="0" borderId="0" xfId="1" applyNumberFormat="1" applyFont="1"/>
    <xf numFmtId="10" fontId="0" fillId="0" borderId="0" xfId="2" applyNumberFormat="1" applyFont="1"/>
    <xf numFmtId="41" fontId="0" fillId="0" borderId="0" xfId="0" applyNumberForma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/>
    <xf numFmtId="0" fontId="0" fillId="3" borderId="6" xfId="0" applyNumberFormat="1" applyFill="1" applyBorder="1" applyAlignment="1">
      <alignment wrapText="1"/>
    </xf>
    <xf numFmtId="0" fontId="0" fillId="3" borderId="7" xfId="0" applyNumberFormat="1" applyFill="1" applyBorder="1" applyAlignment="1">
      <alignment wrapText="1"/>
    </xf>
    <xf numFmtId="0" fontId="0" fillId="3" borderId="8" xfId="0" applyNumberFormat="1" applyFill="1" applyBorder="1" applyAlignment="1">
      <alignment wrapText="1"/>
    </xf>
    <xf numFmtId="41" fontId="0" fillId="4" borderId="9" xfId="0" applyNumberFormat="1" applyFill="1" applyBorder="1" applyAlignment="1"/>
    <xf numFmtId="41" fontId="0" fillId="4" borderId="1" xfId="0" applyNumberFormat="1" applyFill="1" applyBorder="1" applyAlignment="1"/>
    <xf numFmtId="1" fontId="0" fillId="4" borderId="1" xfId="0" applyNumberFormat="1" applyFill="1" applyBorder="1" applyAlignment="1"/>
    <xf numFmtId="10" fontId="0" fillId="4" borderId="1" xfId="0" applyNumberFormat="1" applyFill="1" applyBorder="1" applyAlignment="1"/>
    <xf numFmtId="10" fontId="0" fillId="4" borderId="10" xfId="0" applyNumberFormat="1" applyFill="1" applyBorder="1" applyAlignment="1"/>
    <xf numFmtId="41" fontId="0" fillId="4" borderId="11" xfId="0" applyNumberFormat="1" applyFill="1" applyBorder="1" applyAlignment="1"/>
    <xf numFmtId="41" fontId="0" fillId="4" borderId="12" xfId="0" applyNumberFormat="1" applyFill="1" applyBorder="1" applyAlignment="1"/>
    <xf numFmtId="1" fontId="0" fillId="4" borderId="12" xfId="0" applyNumberFormat="1" applyFill="1" applyBorder="1" applyAlignment="1"/>
    <xf numFmtId="10" fontId="0" fillId="4" borderId="12" xfId="0" applyNumberFormat="1" applyFill="1" applyBorder="1" applyAlignment="1"/>
    <xf numFmtId="10" fontId="0" fillId="4" borderId="13" xfId="0" applyNumberFormat="1" applyFill="1" applyBorder="1" applyAlignment="1"/>
    <xf numFmtId="0" fontId="0" fillId="0" borderId="0" xfId="0" applyBorder="1"/>
    <xf numFmtId="168" fontId="0" fillId="0" borderId="0" xfId="1" applyNumberFormat="1" applyFont="1" applyBorder="1"/>
    <xf numFmtId="168" fontId="0" fillId="0" borderId="5" xfId="1" applyNumberFormat="1" applyFont="1" applyBorder="1"/>
    <xf numFmtId="0" fontId="4" fillId="0" borderId="14" xfId="0" applyFont="1" applyBorder="1" applyAlignment="1">
      <alignment horizontal="center" vertical="top"/>
    </xf>
    <xf numFmtId="0" fontId="2" fillId="0" borderId="14" xfId="0" applyFont="1" applyBorder="1"/>
    <xf numFmtId="164" fontId="5" fillId="0" borderId="0" xfId="0" applyNumberFormat="1" applyFont="1" applyBorder="1" applyAlignment="1">
      <alignment horizontal="center" vertical="top"/>
    </xf>
    <xf numFmtId="166" fontId="1" fillId="0" borderId="0" xfId="1" applyNumberFormat="1" applyFont="1" applyBorder="1" applyAlignment="1">
      <alignment horizontal="center"/>
    </xf>
    <xf numFmtId="0" fontId="0" fillId="0" borderId="0" xfId="0" applyFont="1" applyBorder="1"/>
    <xf numFmtId="168" fontId="1" fillId="0" borderId="0" xfId="1" applyNumberFormat="1" applyFont="1" applyBorder="1"/>
    <xf numFmtId="164" fontId="5" fillId="0" borderId="5" xfId="0" applyNumberFormat="1" applyFont="1" applyBorder="1" applyAlignment="1">
      <alignment horizontal="center" vertical="top"/>
    </xf>
    <xf numFmtId="166" fontId="1" fillId="0" borderId="5" xfId="1" applyNumberFormat="1" applyFont="1" applyBorder="1" applyAlignment="1">
      <alignment horizontal="center"/>
    </xf>
    <xf numFmtId="168" fontId="1" fillId="0" borderId="5" xfId="1" applyNumberFormat="1" applyFont="1" applyBorder="1"/>
    <xf numFmtId="0" fontId="0" fillId="0" borderId="15" xfId="0" applyBorder="1"/>
    <xf numFmtId="168" fontId="0" fillId="0" borderId="15" xfId="1" applyNumberFormat="1" applyFont="1" applyBorder="1"/>
    <xf numFmtId="41" fontId="0" fillId="0" borderId="0" xfId="1" applyNumberFormat="1" applyFont="1" applyBorder="1"/>
    <xf numFmtId="0" fontId="0" fillId="0" borderId="5" xfId="0" applyBorder="1"/>
    <xf numFmtId="10" fontId="0" fillId="0" borderId="5" xfId="2" applyNumberFormat="1" applyFont="1" applyBorder="1"/>
    <xf numFmtId="41" fontId="0" fillId="0" borderId="5" xfId="1" applyFont="1" applyBorder="1"/>
    <xf numFmtId="41" fontId="0" fillId="0" borderId="5" xfId="0" applyNumberFormat="1" applyBorder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Histograma:Valor_final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Histograma_Valor_final!$C$2</c:f>
              <c:strCache>
                <c:ptCount val="1"/>
                <c:pt idx="0">
                  <c:v>Frecuencia</c:v>
                </c:pt>
              </c:strCache>
            </c:strRef>
          </c:tx>
          <c:invertIfNegative val="0"/>
          <c:val>
            <c:numRef>
              <c:f>Histograma_Valor_final!$C$3:$C$79</c:f>
              <c:numCache>
                <c:formatCode>0</c:formatCode>
                <c:ptCount val="77"/>
                <c:pt idx="0">
                  <c:v>1</c:v>
                </c:pt>
                <c:pt idx="1">
                  <c:v>5</c:v>
                </c:pt>
                <c:pt idx="2">
                  <c:v>9</c:v>
                </c:pt>
                <c:pt idx="3">
                  <c:v>17</c:v>
                </c:pt>
                <c:pt idx="4">
                  <c:v>31</c:v>
                </c:pt>
                <c:pt idx="5">
                  <c:v>70</c:v>
                </c:pt>
                <c:pt idx="6">
                  <c:v>127</c:v>
                </c:pt>
                <c:pt idx="7">
                  <c:v>200</c:v>
                </c:pt>
                <c:pt idx="8">
                  <c:v>231</c:v>
                </c:pt>
                <c:pt idx="9">
                  <c:v>290</c:v>
                </c:pt>
                <c:pt idx="10">
                  <c:v>336</c:v>
                </c:pt>
                <c:pt idx="11">
                  <c:v>430</c:v>
                </c:pt>
                <c:pt idx="12">
                  <c:v>451</c:v>
                </c:pt>
                <c:pt idx="13">
                  <c:v>483</c:v>
                </c:pt>
                <c:pt idx="14">
                  <c:v>497</c:v>
                </c:pt>
                <c:pt idx="15">
                  <c:v>540</c:v>
                </c:pt>
                <c:pt idx="16">
                  <c:v>542</c:v>
                </c:pt>
                <c:pt idx="17">
                  <c:v>504</c:v>
                </c:pt>
                <c:pt idx="18">
                  <c:v>474</c:v>
                </c:pt>
                <c:pt idx="19">
                  <c:v>500</c:v>
                </c:pt>
                <c:pt idx="20">
                  <c:v>461</c:v>
                </c:pt>
                <c:pt idx="21">
                  <c:v>398</c:v>
                </c:pt>
                <c:pt idx="22">
                  <c:v>370</c:v>
                </c:pt>
                <c:pt idx="23">
                  <c:v>365</c:v>
                </c:pt>
                <c:pt idx="24">
                  <c:v>322</c:v>
                </c:pt>
                <c:pt idx="25">
                  <c:v>296</c:v>
                </c:pt>
                <c:pt idx="26">
                  <c:v>246</c:v>
                </c:pt>
                <c:pt idx="27">
                  <c:v>217</c:v>
                </c:pt>
                <c:pt idx="28">
                  <c:v>211</c:v>
                </c:pt>
                <c:pt idx="29">
                  <c:v>191</c:v>
                </c:pt>
                <c:pt idx="30">
                  <c:v>162</c:v>
                </c:pt>
                <c:pt idx="31">
                  <c:v>132</c:v>
                </c:pt>
                <c:pt idx="32">
                  <c:v>111</c:v>
                </c:pt>
                <c:pt idx="33">
                  <c:v>102</c:v>
                </c:pt>
                <c:pt idx="34">
                  <c:v>95</c:v>
                </c:pt>
                <c:pt idx="35">
                  <c:v>75</c:v>
                </c:pt>
                <c:pt idx="36">
                  <c:v>64</c:v>
                </c:pt>
                <c:pt idx="37">
                  <c:v>68</c:v>
                </c:pt>
                <c:pt idx="38">
                  <c:v>51</c:v>
                </c:pt>
                <c:pt idx="39">
                  <c:v>42</c:v>
                </c:pt>
                <c:pt idx="40">
                  <c:v>41</c:v>
                </c:pt>
                <c:pt idx="41">
                  <c:v>30</c:v>
                </c:pt>
                <c:pt idx="42">
                  <c:v>27</c:v>
                </c:pt>
                <c:pt idx="43">
                  <c:v>19</c:v>
                </c:pt>
                <c:pt idx="44">
                  <c:v>24</c:v>
                </c:pt>
                <c:pt idx="45">
                  <c:v>21</c:v>
                </c:pt>
                <c:pt idx="46">
                  <c:v>18</c:v>
                </c:pt>
                <c:pt idx="47">
                  <c:v>13</c:v>
                </c:pt>
                <c:pt idx="48">
                  <c:v>16</c:v>
                </c:pt>
                <c:pt idx="49">
                  <c:v>5</c:v>
                </c:pt>
                <c:pt idx="50">
                  <c:v>8</c:v>
                </c:pt>
                <c:pt idx="51">
                  <c:v>11</c:v>
                </c:pt>
                <c:pt idx="52">
                  <c:v>6</c:v>
                </c:pt>
                <c:pt idx="53">
                  <c:v>4</c:v>
                </c:pt>
                <c:pt idx="54">
                  <c:v>11</c:v>
                </c:pt>
                <c:pt idx="55">
                  <c:v>4</c:v>
                </c:pt>
                <c:pt idx="56">
                  <c:v>5</c:v>
                </c:pt>
                <c:pt idx="57">
                  <c:v>1</c:v>
                </c:pt>
                <c:pt idx="58">
                  <c:v>4</c:v>
                </c:pt>
                <c:pt idx="59">
                  <c:v>2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4</c:v>
                </c:pt>
                <c:pt idx="64">
                  <c:v>1</c:v>
                </c:pt>
                <c:pt idx="65">
                  <c:v>2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D-49CF-B771-2A79C717E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0125327"/>
        <c:axId val="2060125807"/>
      </c:barChart>
      <c:catAx>
        <c:axId val="2060125327"/>
        <c:scaling>
          <c:orientation val="minMax"/>
        </c:scaling>
        <c:delete val="0"/>
        <c:axPos val="b"/>
        <c:majorTickMark val="out"/>
        <c:minorTickMark val="none"/>
        <c:tickLblPos val="nextTo"/>
        <c:crossAx val="2060125807"/>
        <c:crosses val="autoZero"/>
        <c:auto val="1"/>
        <c:lblAlgn val="ctr"/>
        <c:lblOffset val="100"/>
        <c:noMultiLvlLbl val="0"/>
      </c:catAx>
      <c:valAx>
        <c:axId val="2060125807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06012532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12</xdr:col>
      <xdr:colOff>609600</xdr:colOff>
      <xdr:row>14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715633-1813-C6BF-00A4-4DE243E80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ryp\Documents\Python%20for%20Finance\Codigos%20Python\Portafolio\markowitz_portfolios_with_CML.xlsx" TargetMode="External"/><Relationship Id="rId1" Type="http://schemas.openxmlformats.org/officeDocument/2006/relationships/externalLinkPath" Target="/Users/meryp/Documents/Python%20for%20Finance/Codigos%20Python/Portafolio/markowitz_portfolios_with_CM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cios Ajustados"/>
      <sheetName val="Retornos Log Diarios"/>
      <sheetName val="Matriz Covarianza Anual"/>
      <sheetName val="Resumen Portafolios"/>
      <sheetName val="Frontera Eficiente"/>
      <sheetName val="VaR_CVaR_Frontera_Eficiente"/>
      <sheetName val="Normal_Min_Varianza"/>
      <sheetName val="Normal_Max_Retorno"/>
      <sheetName val="Normal_Tangente"/>
      <sheetName val="Historico_Min_Varianza"/>
      <sheetName val="Historico_Max_Retorno"/>
      <sheetName val="Historico_Tangente"/>
      <sheetName val="CornishFisher_Min_Varianza"/>
      <sheetName val="CornishFisher_Max_Retorno"/>
      <sheetName val="CornishFisher_Tangente"/>
      <sheetName val="Estadisticas"/>
      <sheetName val="Parametros"/>
      <sheetName val="VaR_CVaR_95"/>
    </sheetNames>
    <sheetDataSet>
      <sheetData sheetId="0">
        <row r="1">
          <cell r="B1" t="str">
            <v>CRM</v>
          </cell>
          <cell r="C1" t="str">
            <v>INTC</v>
          </cell>
          <cell r="D1" t="str">
            <v>META</v>
          </cell>
          <cell r="E1" t="str">
            <v>ORCL</v>
          </cell>
          <cell r="F1" t="str">
            <v>QCOM</v>
          </cell>
        </row>
        <row r="2">
          <cell r="A2">
            <v>42156</v>
          </cell>
          <cell r="B2">
            <v>72.465011596679688</v>
          </cell>
          <cell r="C2">
            <v>26.392829895019531</v>
          </cell>
          <cell r="D2">
            <v>79.8519287109375</v>
          </cell>
          <cell r="E2">
            <v>37.421390533447273</v>
          </cell>
          <cell r="F2">
            <v>51.987007141113281</v>
          </cell>
        </row>
        <row r="3">
          <cell r="A3">
            <v>42157</v>
          </cell>
          <cell r="B3">
            <v>72.266761779785156</v>
          </cell>
          <cell r="C3">
            <v>25.894708633422852</v>
          </cell>
          <cell r="D3">
            <v>80.001106262207031</v>
          </cell>
          <cell r="E3">
            <v>37.344467163085938</v>
          </cell>
          <cell r="F3">
            <v>51.934597015380859</v>
          </cell>
        </row>
        <row r="4">
          <cell r="A4">
            <v>42158</v>
          </cell>
          <cell r="B4">
            <v>72.831809997558594</v>
          </cell>
          <cell r="C4">
            <v>25.474416732788089</v>
          </cell>
          <cell r="D4">
            <v>81.990188598632813</v>
          </cell>
          <cell r="E4">
            <v>37.575210571289063</v>
          </cell>
          <cell r="F4">
            <v>52.316524505615227</v>
          </cell>
        </row>
        <row r="5">
          <cell r="A5">
            <v>42159</v>
          </cell>
          <cell r="B5">
            <v>71.582756042480469</v>
          </cell>
          <cell r="C5">
            <v>25.147523880004879</v>
          </cell>
          <cell r="D5">
            <v>81.602333068847656</v>
          </cell>
          <cell r="E5">
            <v>37.404281616210938</v>
          </cell>
          <cell r="F5">
            <v>51.597606658935547</v>
          </cell>
        </row>
        <row r="6">
          <cell r="A6">
            <v>42160</v>
          </cell>
          <cell r="B6">
            <v>72.911117553710938</v>
          </cell>
          <cell r="C6">
            <v>24.781719207763668</v>
          </cell>
          <cell r="D6">
            <v>81.691825866699219</v>
          </cell>
          <cell r="E6">
            <v>37.4384765625</v>
          </cell>
          <cell r="F6">
            <v>51.118316650390618</v>
          </cell>
        </row>
        <row r="7">
          <cell r="A7">
            <v>42163</v>
          </cell>
          <cell r="B7">
            <v>71.215957641601563</v>
          </cell>
          <cell r="C7">
            <v>24.361419677734379</v>
          </cell>
          <cell r="D7">
            <v>80.229850769042969</v>
          </cell>
          <cell r="E7">
            <v>36.831733703613281</v>
          </cell>
          <cell r="F7">
            <v>50.384418487548828</v>
          </cell>
        </row>
        <row r="8">
          <cell r="A8">
            <v>42164</v>
          </cell>
          <cell r="B8">
            <v>71.13665771484375</v>
          </cell>
          <cell r="C8">
            <v>24.322505950927731</v>
          </cell>
          <cell r="D8">
            <v>80.229850769042969</v>
          </cell>
          <cell r="E8">
            <v>36.806083679199219</v>
          </cell>
          <cell r="F8">
            <v>50.054916381835938</v>
          </cell>
        </row>
        <row r="9">
          <cell r="A9">
            <v>42165</v>
          </cell>
          <cell r="B9">
            <v>72.3956298828125</v>
          </cell>
          <cell r="C9">
            <v>24.766147613525391</v>
          </cell>
          <cell r="D9">
            <v>81.711723327636719</v>
          </cell>
          <cell r="E9">
            <v>37.549564361572273</v>
          </cell>
          <cell r="F9">
            <v>50.406887054443359</v>
          </cell>
        </row>
        <row r="10">
          <cell r="A10">
            <v>42166</v>
          </cell>
          <cell r="B10">
            <v>71.771095275878906</v>
          </cell>
          <cell r="C10">
            <v>24.789497375488281</v>
          </cell>
          <cell r="D10">
            <v>81.383529663085938</v>
          </cell>
          <cell r="E10">
            <v>37.840110778808587</v>
          </cell>
          <cell r="F10">
            <v>50.624061584472663</v>
          </cell>
        </row>
        <row r="11">
          <cell r="A11">
            <v>42167</v>
          </cell>
          <cell r="B11">
            <v>71.146568298339844</v>
          </cell>
          <cell r="C11">
            <v>24.37699127197266</v>
          </cell>
          <cell r="D11">
            <v>81.085151672363281</v>
          </cell>
          <cell r="E11">
            <v>37.891391754150391</v>
          </cell>
          <cell r="F11">
            <v>50.197193145751953</v>
          </cell>
        </row>
        <row r="12">
          <cell r="A12">
            <v>42170</v>
          </cell>
          <cell r="B12">
            <v>71.929710388183594</v>
          </cell>
          <cell r="C12">
            <v>24.43146896362305</v>
          </cell>
          <cell r="D12">
            <v>80.269638061523438</v>
          </cell>
          <cell r="E12">
            <v>37.361553192138672</v>
          </cell>
          <cell r="F12">
            <v>49.89764404296875</v>
          </cell>
        </row>
        <row r="13">
          <cell r="A13">
            <v>42171</v>
          </cell>
          <cell r="B13">
            <v>72.762420654296875</v>
          </cell>
          <cell r="C13">
            <v>24.626056671142582</v>
          </cell>
          <cell r="D13">
            <v>80.617721557617188</v>
          </cell>
          <cell r="E13">
            <v>38.147754669189453</v>
          </cell>
          <cell r="F13">
            <v>49.770336151123047</v>
          </cell>
        </row>
        <row r="14">
          <cell r="A14">
            <v>42172</v>
          </cell>
          <cell r="B14">
            <v>73.773551940917969</v>
          </cell>
          <cell r="C14">
            <v>24.86733436584473</v>
          </cell>
          <cell r="D14">
            <v>81.343742370605469</v>
          </cell>
          <cell r="E14">
            <v>38.378494262695313</v>
          </cell>
          <cell r="F14">
            <v>49.837753295898438</v>
          </cell>
        </row>
        <row r="15">
          <cell r="A15">
            <v>42173</v>
          </cell>
          <cell r="B15">
            <v>75.052345275878906</v>
          </cell>
          <cell r="C15">
            <v>25.202005386352539</v>
          </cell>
          <cell r="D15">
            <v>82.457633972167969</v>
          </cell>
          <cell r="E15">
            <v>36.524097442626953</v>
          </cell>
          <cell r="F15">
            <v>50.444339752197273</v>
          </cell>
        </row>
        <row r="16">
          <cell r="A16">
            <v>42174</v>
          </cell>
          <cell r="B16">
            <v>74.348526000976563</v>
          </cell>
          <cell r="C16">
            <v>24.960725784301761</v>
          </cell>
          <cell r="D16">
            <v>82.059814453125</v>
          </cell>
          <cell r="E16">
            <v>35.541343688964837</v>
          </cell>
          <cell r="F16">
            <v>50.084873199462891</v>
          </cell>
        </row>
        <row r="17">
          <cell r="A17">
            <v>42177</v>
          </cell>
          <cell r="B17">
            <v>74.13043212890625</v>
          </cell>
          <cell r="C17">
            <v>25.108602523803711</v>
          </cell>
          <cell r="D17">
            <v>84.277641296386719</v>
          </cell>
          <cell r="E17">
            <v>35.455886840820313</v>
          </cell>
          <cell r="F17">
            <v>50.444339752197273</v>
          </cell>
        </row>
        <row r="18">
          <cell r="A18">
            <v>42178</v>
          </cell>
          <cell r="B18">
            <v>73.555458068847656</v>
          </cell>
          <cell r="C18">
            <v>24.97629356384277</v>
          </cell>
          <cell r="D18">
            <v>87.4005126953125</v>
          </cell>
          <cell r="E18">
            <v>35.643882751464837</v>
          </cell>
          <cell r="F18">
            <v>50.159759521484382</v>
          </cell>
        </row>
        <row r="19">
          <cell r="A19">
            <v>42179</v>
          </cell>
          <cell r="B19">
            <v>72.861541748046875</v>
          </cell>
          <cell r="C19">
            <v>24.8361930847168</v>
          </cell>
          <cell r="D19">
            <v>88.375167846679688</v>
          </cell>
          <cell r="E19">
            <v>35.208057403564453</v>
          </cell>
          <cell r="F19">
            <v>48.939094543457031</v>
          </cell>
        </row>
        <row r="20">
          <cell r="A20">
            <v>42180</v>
          </cell>
          <cell r="B20">
            <v>72.970588684082031</v>
          </cell>
          <cell r="C20">
            <v>24.89846229553223</v>
          </cell>
          <cell r="D20">
            <v>87.499969482421875</v>
          </cell>
          <cell r="E20">
            <v>35.088417053222663</v>
          </cell>
          <cell r="F20">
            <v>48.871685028076172</v>
          </cell>
        </row>
        <row r="21">
          <cell r="A21">
            <v>42181</v>
          </cell>
          <cell r="B21">
            <v>71.711616516113281</v>
          </cell>
          <cell r="C21">
            <v>24.143489837646481</v>
          </cell>
          <cell r="D21">
            <v>87.529808044433594</v>
          </cell>
          <cell r="E21">
            <v>35.028602600097663</v>
          </cell>
          <cell r="F21">
            <v>48.429862976074219</v>
          </cell>
        </row>
        <row r="22">
          <cell r="A22">
            <v>42184</v>
          </cell>
          <cell r="B22">
            <v>69.391952514648438</v>
          </cell>
          <cell r="C22">
            <v>23.65314865112305</v>
          </cell>
          <cell r="D22">
            <v>85.331863403320313</v>
          </cell>
          <cell r="E22">
            <v>34.54150390625</v>
          </cell>
          <cell r="F22">
            <v>46.894657135009773</v>
          </cell>
        </row>
        <row r="23">
          <cell r="A23">
            <v>42185</v>
          </cell>
          <cell r="B23">
            <v>69.025154113769531</v>
          </cell>
          <cell r="C23">
            <v>23.6765022277832</v>
          </cell>
          <cell r="D23">
            <v>85.302024841308594</v>
          </cell>
          <cell r="E23">
            <v>34.438949584960938</v>
          </cell>
          <cell r="F23">
            <v>46.902153015136719</v>
          </cell>
        </row>
        <row r="24">
          <cell r="A24">
            <v>42186</v>
          </cell>
          <cell r="B24">
            <v>69.927261352539063</v>
          </cell>
          <cell r="C24">
            <v>23.48970794677734</v>
          </cell>
          <cell r="D24">
            <v>86.435813903808594</v>
          </cell>
          <cell r="E24">
            <v>34.387672424316413</v>
          </cell>
          <cell r="F24">
            <v>47.104354858398438</v>
          </cell>
        </row>
        <row r="25">
          <cell r="A25">
            <v>42187</v>
          </cell>
          <cell r="B25">
            <v>69.808296203613281</v>
          </cell>
          <cell r="C25">
            <v>23.785465240478519</v>
          </cell>
          <cell r="D25">
            <v>86.813728332519531</v>
          </cell>
          <cell r="E25">
            <v>34.490215301513672</v>
          </cell>
          <cell r="F25">
            <v>47.261611938476563</v>
          </cell>
        </row>
        <row r="26">
          <cell r="A26">
            <v>42191</v>
          </cell>
          <cell r="B26">
            <v>68.559249877929688</v>
          </cell>
          <cell r="C26">
            <v>23.380743026733398</v>
          </cell>
          <cell r="D26">
            <v>87.072319030761719</v>
          </cell>
          <cell r="E26">
            <v>34.438758850097663</v>
          </cell>
          <cell r="F26">
            <v>47.261611938476563</v>
          </cell>
        </row>
        <row r="27">
          <cell r="A27">
            <v>42192</v>
          </cell>
          <cell r="B27">
            <v>69.649696350097656</v>
          </cell>
          <cell r="C27">
            <v>23.271774291992191</v>
          </cell>
          <cell r="D27">
            <v>86.744117736816406</v>
          </cell>
          <cell r="E27">
            <v>34.447330474853523</v>
          </cell>
          <cell r="F27">
            <v>47.029457092285163</v>
          </cell>
        </row>
        <row r="28">
          <cell r="A28">
            <v>42193</v>
          </cell>
          <cell r="B28">
            <v>68.787246704101563</v>
          </cell>
          <cell r="C28">
            <v>22.960441589355469</v>
          </cell>
          <cell r="D28">
            <v>85.182693481445313</v>
          </cell>
          <cell r="E28">
            <v>34.112808227539063</v>
          </cell>
          <cell r="F28">
            <v>46.362968444824219</v>
          </cell>
        </row>
        <row r="29">
          <cell r="A29">
            <v>42194</v>
          </cell>
          <cell r="B29">
            <v>69.352294921875</v>
          </cell>
          <cell r="C29">
            <v>22.516803741455082</v>
          </cell>
          <cell r="D29">
            <v>85.411430358886719</v>
          </cell>
          <cell r="E29">
            <v>34.464485168457031</v>
          </cell>
          <cell r="F29">
            <v>46.32550048828125</v>
          </cell>
        </row>
        <row r="30">
          <cell r="A30">
            <v>42195</v>
          </cell>
          <cell r="B30">
            <v>70.522048950195313</v>
          </cell>
          <cell r="C30">
            <v>22.70359992980957</v>
          </cell>
          <cell r="D30">
            <v>87.470130920410156</v>
          </cell>
          <cell r="E30">
            <v>34.618885040283203</v>
          </cell>
          <cell r="F30">
            <v>46.977039337158203</v>
          </cell>
        </row>
        <row r="31">
          <cell r="A31">
            <v>42198</v>
          </cell>
          <cell r="B31">
            <v>70.432830810546875</v>
          </cell>
          <cell r="C31">
            <v>23.139457702636719</v>
          </cell>
          <cell r="D31">
            <v>89.608406066894531</v>
          </cell>
          <cell r="E31">
            <v>34.996299743652337</v>
          </cell>
          <cell r="F31">
            <v>47.501239776611328</v>
          </cell>
        </row>
        <row r="32">
          <cell r="A32">
            <v>42199</v>
          </cell>
          <cell r="B32">
            <v>71.166397094726563</v>
          </cell>
          <cell r="C32">
            <v>23.077194213867191</v>
          </cell>
          <cell r="D32">
            <v>89.190704345703125</v>
          </cell>
          <cell r="E32">
            <v>34.979152679443359</v>
          </cell>
          <cell r="F32">
            <v>47.883174896240227</v>
          </cell>
        </row>
        <row r="33">
          <cell r="A33">
            <v>42200</v>
          </cell>
          <cell r="B33">
            <v>70.740127563476563</v>
          </cell>
          <cell r="C33">
            <v>23.108327865600589</v>
          </cell>
          <cell r="D33">
            <v>89.270263671875</v>
          </cell>
          <cell r="E33">
            <v>34.987716674804688</v>
          </cell>
          <cell r="F33">
            <v>47.838249206542969</v>
          </cell>
        </row>
        <row r="34">
          <cell r="A34">
            <v>42201</v>
          </cell>
          <cell r="B34">
            <v>71.790924072265625</v>
          </cell>
          <cell r="C34">
            <v>23.271774291992191</v>
          </cell>
          <cell r="D34">
            <v>90.35430908203125</v>
          </cell>
          <cell r="E34">
            <v>35.133533477783203</v>
          </cell>
          <cell r="F34">
            <v>48.340000152587891</v>
          </cell>
        </row>
        <row r="35">
          <cell r="A35">
            <v>42202</v>
          </cell>
          <cell r="B35">
            <v>72.177543640136719</v>
          </cell>
          <cell r="C35">
            <v>22.937093734741211</v>
          </cell>
          <cell r="D35">
            <v>94.451835632324219</v>
          </cell>
          <cell r="E35">
            <v>34.653186798095703</v>
          </cell>
          <cell r="F35">
            <v>48.182727813720703</v>
          </cell>
        </row>
        <row r="36">
          <cell r="A36">
            <v>42205</v>
          </cell>
          <cell r="B36">
            <v>72.137886047363281</v>
          </cell>
          <cell r="C36">
            <v>22.649116516113281</v>
          </cell>
          <cell r="D36">
            <v>97.37579345703125</v>
          </cell>
          <cell r="E36">
            <v>34.250057220458977</v>
          </cell>
          <cell r="F36">
            <v>47.770854949951172</v>
          </cell>
        </row>
        <row r="37">
          <cell r="A37">
            <v>42206</v>
          </cell>
          <cell r="B37">
            <v>73.188682556152344</v>
          </cell>
          <cell r="C37">
            <v>22.35335540771484</v>
          </cell>
          <cell r="D37">
            <v>97.853172302246094</v>
          </cell>
          <cell r="E37">
            <v>33.941272735595703</v>
          </cell>
          <cell r="F37">
            <v>48.781841278076172</v>
          </cell>
        </row>
        <row r="38">
          <cell r="A38">
            <v>42207</v>
          </cell>
          <cell r="B38">
            <v>73.22833251953125</v>
          </cell>
          <cell r="C38">
            <v>22.267740249633789</v>
          </cell>
          <cell r="D38">
            <v>96.510536193847656</v>
          </cell>
          <cell r="E38">
            <v>33.812602996826172</v>
          </cell>
          <cell r="F38">
            <v>48.070400238037109</v>
          </cell>
        </row>
        <row r="39">
          <cell r="A39">
            <v>42208</v>
          </cell>
          <cell r="B39">
            <v>71.582756042480469</v>
          </cell>
          <cell r="C39">
            <v>22.259954452514648</v>
          </cell>
          <cell r="D39">
            <v>94.919273376464844</v>
          </cell>
          <cell r="E39">
            <v>33.452354431152337</v>
          </cell>
          <cell r="F39">
            <v>46.265598297119141</v>
          </cell>
        </row>
        <row r="40">
          <cell r="A40">
            <v>42209</v>
          </cell>
          <cell r="B40">
            <v>73.27789306640625</v>
          </cell>
          <cell r="C40">
            <v>21.839662551879879</v>
          </cell>
          <cell r="D40">
            <v>96.4210205078125</v>
          </cell>
          <cell r="E40">
            <v>33.452354431152337</v>
          </cell>
          <cell r="F40">
            <v>46.160758972167969</v>
          </cell>
        </row>
        <row r="41">
          <cell r="A41">
            <v>42212</v>
          </cell>
          <cell r="B41">
            <v>71.830581665039063</v>
          </cell>
          <cell r="C41">
            <v>22.065374374389648</v>
          </cell>
          <cell r="D41">
            <v>93.65618896484375</v>
          </cell>
          <cell r="E41">
            <v>33.032047271728523</v>
          </cell>
          <cell r="F41">
            <v>46.415378570556641</v>
          </cell>
        </row>
        <row r="42">
          <cell r="A42">
            <v>42213</v>
          </cell>
          <cell r="B42">
            <v>73.149017333984375</v>
          </cell>
          <cell r="C42">
            <v>22.540153503417969</v>
          </cell>
          <cell r="D42">
            <v>94.77008056640625</v>
          </cell>
          <cell r="E42">
            <v>33.692512512207031</v>
          </cell>
          <cell r="F42">
            <v>47.254119873046882</v>
          </cell>
        </row>
        <row r="43">
          <cell r="A43">
            <v>42214</v>
          </cell>
          <cell r="B43">
            <v>73.238243103027344</v>
          </cell>
          <cell r="C43">
            <v>22.57906532287598</v>
          </cell>
          <cell r="D43">
            <v>96.4608154296875</v>
          </cell>
          <cell r="E43">
            <v>34.129970550537109</v>
          </cell>
          <cell r="F43">
            <v>47.306545257568359</v>
          </cell>
        </row>
        <row r="44">
          <cell r="A44">
            <v>42215</v>
          </cell>
          <cell r="B44">
            <v>72.722763061523438</v>
          </cell>
          <cell r="C44">
            <v>22.501237869262699</v>
          </cell>
          <cell r="D44">
            <v>94.690513610839844</v>
          </cell>
          <cell r="E44">
            <v>34.0098876953125</v>
          </cell>
          <cell r="F44">
            <v>48.235153198242188</v>
          </cell>
        </row>
        <row r="45">
          <cell r="A45">
            <v>42216</v>
          </cell>
          <cell r="B45">
            <v>72.663299560546875</v>
          </cell>
          <cell r="C45">
            <v>22.53237152099609</v>
          </cell>
          <cell r="D45">
            <v>93.497077941894531</v>
          </cell>
          <cell r="E45">
            <v>34.258628845214837</v>
          </cell>
          <cell r="F45">
            <v>48.220161437988281</v>
          </cell>
        </row>
        <row r="46">
          <cell r="A46">
            <v>42219</v>
          </cell>
          <cell r="B46">
            <v>71.810752868652344</v>
          </cell>
          <cell r="C46">
            <v>22.610197067260739</v>
          </cell>
          <cell r="D46">
            <v>93.626358032226563</v>
          </cell>
          <cell r="E46">
            <v>34.06134033203125</v>
          </cell>
          <cell r="F46">
            <v>48.250125885009773</v>
          </cell>
        </row>
        <row r="47">
          <cell r="A47">
            <v>42220</v>
          </cell>
          <cell r="B47">
            <v>71.265533447265625</v>
          </cell>
          <cell r="C47">
            <v>22.672464370727539</v>
          </cell>
          <cell r="D47">
            <v>93.546798706054688</v>
          </cell>
          <cell r="E47">
            <v>34.018470764160163</v>
          </cell>
          <cell r="F47">
            <v>47.5162353515625</v>
          </cell>
        </row>
        <row r="48">
          <cell r="A48">
            <v>42221</v>
          </cell>
          <cell r="B48">
            <v>71.899971008300781</v>
          </cell>
          <cell r="C48">
            <v>22.85296630859375</v>
          </cell>
          <cell r="D48">
            <v>95.913810729980469</v>
          </cell>
          <cell r="E48">
            <v>34.001293182373047</v>
          </cell>
          <cell r="F48">
            <v>47.838249206542969</v>
          </cell>
        </row>
        <row r="49">
          <cell r="A49">
            <v>42222</v>
          </cell>
          <cell r="B49">
            <v>69.818214416503906</v>
          </cell>
          <cell r="C49">
            <v>22.766641616821289</v>
          </cell>
          <cell r="D49">
            <v>94.60101318359375</v>
          </cell>
          <cell r="E49">
            <v>33.726818084716797</v>
          </cell>
          <cell r="F49">
            <v>47.059421539306641</v>
          </cell>
        </row>
        <row r="50">
          <cell r="A50">
            <v>42223</v>
          </cell>
          <cell r="B50">
            <v>69.798385620117188</v>
          </cell>
          <cell r="C50">
            <v>22.664615631103519</v>
          </cell>
          <cell r="D50">
            <v>93.785491943359375</v>
          </cell>
          <cell r="E50">
            <v>33.93267822265625</v>
          </cell>
          <cell r="F50">
            <v>47.194202423095703</v>
          </cell>
        </row>
        <row r="51">
          <cell r="A51">
            <v>42226</v>
          </cell>
          <cell r="B51">
            <v>70.650917053222656</v>
          </cell>
          <cell r="C51">
            <v>23.261053085327148</v>
          </cell>
          <cell r="D51">
            <v>93.636299133300781</v>
          </cell>
          <cell r="E51">
            <v>34.215744018554688</v>
          </cell>
          <cell r="F51">
            <v>47.291568756103523</v>
          </cell>
        </row>
        <row r="52">
          <cell r="A52">
            <v>42227</v>
          </cell>
          <cell r="B52">
            <v>71.007789611816406</v>
          </cell>
          <cell r="C52">
            <v>22.735246658325199</v>
          </cell>
          <cell r="D52">
            <v>93.109207153320313</v>
          </cell>
          <cell r="E52">
            <v>33.598159790039063</v>
          </cell>
          <cell r="F52">
            <v>46.842239379882813</v>
          </cell>
        </row>
        <row r="53">
          <cell r="A53">
            <v>42228</v>
          </cell>
          <cell r="B53">
            <v>70.422920227050781</v>
          </cell>
          <cell r="C53">
            <v>23.119791030883789</v>
          </cell>
          <cell r="D53">
            <v>93.676094055175781</v>
          </cell>
          <cell r="E53">
            <v>33.692512512207031</v>
          </cell>
          <cell r="F53">
            <v>46.864707946777337</v>
          </cell>
        </row>
        <row r="54">
          <cell r="A54">
            <v>42229</v>
          </cell>
          <cell r="B54">
            <v>70.77978515625</v>
          </cell>
          <cell r="C54">
            <v>22.656772613525391</v>
          </cell>
          <cell r="D54">
            <v>92.920234680175781</v>
          </cell>
          <cell r="E54">
            <v>33.718257904052727</v>
          </cell>
          <cell r="F54">
            <v>46.452835083007813</v>
          </cell>
        </row>
        <row r="55">
          <cell r="A55">
            <v>42230</v>
          </cell>
          <cell r="B55">
            <v>72.355979919433594</v>
          </cell>
          <cell r="C55">
            <v>22.774484634399411</v>
          </cell>
          <cell r="D55">
            <v>93.904838562011719</v>
          </cell>
          <cell r="E55">
            <v>33.804023742675781</v>
          </cell>
          <cell r="F55">
            <v>46.362968444824219</v>
          </cell>
        </row>
        <row r="56">
          <cell r="A56">
            <v>42233</v>
          </cell>
          <cell r="B56">
            <v>73.396865844726563</v>
          </cell>
          <cell r="C56">
            <v>22.821577072143551</v>
          </cell>
          <cell r="D56">
            <v>93.417510986328125</v>
          </cell>
          <cell r="E56">
            <v>34.069931030273438</v>
          </cell>
          <cell r="F56">
            <v>46.482780456542969</v>
          </cell>
        </row>
        <row r="57">
          <cell r="A57">
            <v>42234</v>
          </cell>
          <cell r="B57">
            <v>71.949539184570313</v>
          </cell>
          <cell r="C57">
            <v>22.688163757324219</v>
          </cell>
          <cell r="D57">
            <v>94.650726318359375</v>
          </cell>
          <cell r="E57">
            <v>34.164276123046882</v>
          </cell>
          <cell r="F57">
            <v>45.921131134033203</v>
          </cell>
        </row>
        <row r="58">
          <cell r="A58">
            <v>42235</v>
          </cell>
          <cell r="B58">
            <v>71.414237976074219</v>
          </cell>
          <cell r="C58">
            <v>22.256526947021481</v>
          </cell>
          <cell r="D58">
            <v>94.789970397949219</v>
          </cell>
          <cell r="E58">
            <v>33.906951904296882</v>
          </cell>
          <cell r="F58">
            <v>45.816268920898438</v>
          </cell>
        </row>
        <row r="59">
          <cell r="A59">
            <v>42236</v>
          </cell>
          <cell r="B59">
            <v>67.230888366699219</v>
          </cell>
          <cell r="C59">
            <v>21.605157852172852</v>
          </cell>
          <cell r="D59">
            <v>90.065887451171875</v>
          </cell>
          <cell r="E59">
            <v>33.134975433349609</v>
          </cell>
          <cell r="F59">
            <v>45.044940948486328</v>
          </cell>
        </row>
        <row r="60">
          <cell r="A60">
            <v>42237</v>
          </cell>
          <cell r="B60">
            <v>68.549339294433594</v>
          </cell>
          <cell r="C60">
            <v>20.843917846679691</v>
          </cell>
          <cell r="D60">
            <v>85.590446472167969</v>
          </cell>
          <cell r="E60">
            <v>32.208587646484382</v>
          </cell>
          <cell r="F60">
            <v>43.142791748046882</v>
          </cell>
        </row>
        <row r="61">
          <cell r="A61">
            <v>42240</v>
          </cell>
          <cell r="B61">
            <v>64.603889465332031</v>
          </cell>
          <cell r="C61">
            <v>20.600627899169918</v>
          </cell>
          <cell r="D61">
            <v>81.642097473144531</v>
          </cell>
          <cell r="E61">
            <v>30.94770622253418</v>
          </cell>
          <cell r="F61">
            <v>41.397895812988281</v>
          </cell>
        </row>
        <row r="62">
          <cell r="A62">
            <v>42241</v>
          </cell>
          <cell r="B62">
            <v>64.613815307617188</v>
          </cell>
          <cell r="C62">
            <v>20.302412033081051</v>
          </cell>
          <cell r="D62">
            <v>82.547142028808594</v>
          </cell>
          <cell r="E62">
            <v>30.40732383728027</v>
          </cell>
          <cell r="F62">
            <v>40.349472045898438</v>
          </cell>
        </row>
        <row r="63">
          <cell r="A63">
            <v>42242</v>
          </cell>
          <cell r="B63">
            <v>67.924812316894531</v>
          </cell>
          <cell r="C63">
            <v>21.42465782165527</v>
          </cell>
          <cell r="D63">
            <v>86.714279174804688</v>
          </cell>
          <cell r="E63">
            <v>31.659635543823239</v>
          </cell>
          <cell r="F63">
            <v>42.431358337402337</v>
          </cell>
        </row>
        <row r="64">
          <cell r="A64">
            <v>42243</v>
          </cell>
          <cell r="B64">
            <v>69.332481384277344</v>
          </cell>
          <cell r="C64">
            <v>21.754268646240231</v>
          </cell>
          <cell r="D64">
            <v>89.240432739257813</v>
          </cell>
          <cell r="E64">
            <v>31.58244514465332</v>
          </cell>
          <cell r="F64">
            <v>42.95556640625</v>
          </cell>
        </row>
        <row r="65">
          <cell r="A65">
            <v>42244</v>
          </cell>
          <cell r="B65">
            <v>69.639785766601563</v>
          </cell>
          <cell r="C65">
            <v>22.303615570068359</v>
          </cell>
          <cell r="D65">
            <v>90.513450622558594</v>
          </cell>
          <cell r="E65">
            <v>32.131397247314453</v>
          </cell>
          <cell r="F65">
            <v>43.022964477539063</v>
          </cell>
        </row>
        <row r="66">
          <cell r="A66">
            <v>42247</v>
          </cell>
          <cell r="B66">
            <v>68.75750732421875</v>
          </cell>
          <cell r="C66">
            <v>22.39778900146484</v>
          </cell>
          <cell r="D66">
            <v>88.942062377929688</v>
          </cell>
          <cell r="E66">
            <v>31.814043045043949</v>
          </cell>
          <cell r="F66">
            <v>42.728450775146477</v>
          </cell>
        </row>
        <row r="67">
          <cell r="A67">
            <v>42248</v>
          </cell>
          <cell r="B67">
            <v>66.051223754882813</v>
          </cell>
          <cell r="C67">
            <v>21.8327522277832</v>
          </cell>
          <cell r="D67">
            <v>86.754066467285156</v>
          </cell>
          <cell r="E67">
            <v>30.887664794921879</v>
          </cell>
          <cell r="F67">
            <v>41.55035400390625</v>
          </cell>
        </row>
        <row r="68">
          <cell r="A68">
            <v>42249</v>
          </cell>
          <cell r="B68">
            <v>67.389495849609375</v>
          </cell>
          <cell r="C68">
            <v>22.444881439208981</v>
          </cell>
          <cell r="D68">
            <v>89.399543762207031</v>
          </cell>
          <cell r="E68">
            <v>31.522394180297852</v>
          </cell>
          <cell r="F68">
            <v>42.184711456298828</v>
          </cell>
        </row>
        <row r="69">
          <cell r="A69">
            <v>42250</v>
          </cell>
          <cell r="B69">
            <v>67.657150268554688</v>
          </cell>
          <cell r="C69">
            <v>22.821577072143551</v>
          </cell>
          <cell r="D69">
            <v>87.669044494628906</v>
          </cell>
          <cell r="E69">
            <v>31.651060104370121</v>
          </cell>
          <cell r="F69">
            <v>41.950592041015618</v>
          </cell>
        </row>
        <row r="70">
          <cell r="A70">
            <v>42251</v>
          </cell>
          <cell r="B70">
            <v>66.546875</v>
          </cell>
          <cell r="C70">
            <v>22.382097244262699</v>
          </cell>
          <cell r="D70">
            <v>87.778457641601563</v>
          </cell>
          <cell r="E70">
            <v>31.110671997070309</v>
          </cell>
          <cell r="F70">
            <v>40.999061584472663</v>
          </cell>
        </row>
        <row r="71">
          <cell r="A71">
            <v>42255</v>
          </cell>
          <cell r="B71">
            <v>70.145355224609375</v>
          </cell>
          <cell r="C71">
            <v>23.151185989379879</v>
          </cell>
          <cell r="D71">
            <v>89.041511535644531</v>
          </cell>
          <cell r="E71">
            <v>32.320106506347663</v>
          </cell>
          <cell r="F71">
            <v>41.686290740966797</v>
          </cell>
        </row>
        <row r="72">
          <cell r="A72">
            <v>42256</v>
          </cell>
          <cell r="B72">
            <v>68.430374145507813</v>
          </cell>
          <cell r="C72">
            <v>22.947139739990231</v>
          </cell>
          <cell r="D72">
            <v>89.946556091308594</v>
          </cell>
          <cell r="E72">
            <v>31.814043045043949</v>
          </cell>
          <cell r="F72">
            <v>41.021717071533203</v>
          </cell>
        </row>
        <row r="73">
          <cell r="A73">
            <v>42257</v>
          </cell>
          <cell r="B73">
            <v>69.134208679199219</v>
          </cell>
          <cell r="C73">
            <v>22.970685958862301</v>
          </cell>
          <cell r="D73">
            <v>91.4781494140625</v>
          </cell>
          <cell r="E73">
            <v>32.260063171386719</v>
          </cell>
          <cell r="F73">
            <v>41.784454345703118</v>
          </cell>
        </row>
        <row r="74">
          <cell r="A74">
            <v>42258</v>
          </cell>
          <cell r="B74">
            <v>69.441513061523438</v>
          </cell>
          <cell r="C74">
            <v>23.127643585205082</v>
          </cell>
          <cell r="D74">
            <v>91.547767639160156</v>
          </cell>
          <cell r="E74">
            <v>32.525978088378913</v>
          </cell>
          <cell r="F74">
            <v>41.278472900390618</v>
          </cell>
        </row>
        <row r="75">
          <cell r="A75">
            <v>42261</v>
          </cell>
          <cell r="B75">
            <v>69.28289794921875</v>
          </cell>
          <cell r="C75">
            <v>23.064859390258789</v>
          </cell>
          <cell r="D75">
            <v>91.806343078613281</v>
          </cell>
          <cell r="E75">
            <v>32.217174530029297</v>
          </cell>
          <cell r="F75">
            <v>41.01416015625</v>
          </cell>
        </row>
        <row r="76">
          <cell r="A76">
            <v>42262</v>
          </cell>
          <cell r="B76">
            <v>70.650917053222656</v>
          </cell>
          <cell r="C76">
            <v>23.33168792724609</v>
          </cell>
          <cell r="D76">
            <v>92.393119812011719</v>
          </cell>
          <cell r="E76">
            <v>32.586009979248047</v>
          </cell>
          <cell r="F76">
            <v>41.437068939208977</v>
          </cell>
        </row>
        <row r="77">
          <cell r="A77">
            <v>42263</v>
          </cell>
          <cell r="B77">
            <v>71.255615234375</v>
          </cell>
          <cell r="C77">
            <v>23.363079071044918</v>
          </cell>
          <cell r="D77">
            <v>92.94012451171875</v>
          </cell>
          <cell r="E77">
            <v>32.826194763183587</v>
          </cell>
          <cell r="F77">
            <v>41.686290740966797</v>
          </cell>
        </row>
        <row r="78">
          <cell r="A78">
            <v>42264</v>
          </cell>
          <cell r="B78">
            <v>71.691810607910156</v>
          </cell>
          <cell r="C78">
            <v>23.315988540649411</v>
          </cell>
          <cell r="D78">
            <v>93.825263977050781</v>
          </cell>
          <cell r="E78">
            <v>31.513826370239261</v>
          </cell>
          <cell r="F78">
            <v>41.5201416015625</v>
          </cell>
        </row>
        <row r="79">
          <cell r="A79">
            <v>42265</v>
          </cell>
          <cell r="B79">
            <v>70.77978515625</v>
          </cell>
          <cell r="C79">
            <v>22.774484634399411</v>
          </cell>
          <cell r="D79">
            <v>93.884941101074219</v>
          </cell>
          <cell r="E79">
            <v>31.20501708984375</v>
          </cell>
          <cell r="F79">
            <v>41.119888305664063</v>
          </cell>
        </row>
        <row r="80">
          <cell r="A80">
            <v>42268</v>
          </cell>
          <cell r="B80">
            <v>71.513359069824219</v>
          </cell>
          <cell r="C80">
            <v>22.884359359741211</v>
          </cell>
          <cell r="D80">
            <v>95.028663635253906</v>
          </cell>
          <cell r="E80">
            <v>31.591012954711911</v>
          </cell>
          <cell r="F80">
            <v>41.0745849609375</v>
          </cell>
        </row>
        <row r="81">
          <cell r="A81">
            <v>42269</v>
          </cell>
          <cell r="B81">
            <v>71.027618408203125</v>
          </cell>
          <cell r="C81">
            <v>22.499813079833981</v>
          </cell>
          <cell r="D81">
            <v>92.452796936035156</v>
          </cell>
          <cell r="E81">
            <v>31.042062759399411</v>
          </cell>
          <cell r="F81">
            <v>40.734748840332031</v>
          </cell>
        </row>
        <row r="82">
          <cell r="A82">
            <v>42270</v>
          </cell>
          <cell r="B82">
            <v>71.364662170410156</v>
          </cell>
          <cell r="C82">
            <v>22.55474853515625</v>
          </cell>
          <cell r="D82">
            <v>93.457283020019531</v>
          </cell>
          <cell r="E82">
            <v>30.870515823364261</v>
          </cell>
          <cell r="F82">
            <v>40.447769165039063</v>
          </cell>
        </row>
        <row r="83">
          <cell r="A83">
            <v>42271</v>
          </cell>
          <cell r="B83">
            <v>71.08709716796875</v>
          </cell>
          <cell r="C83">
            <v>22.350706100463871</v>
          </cell>
          <cell r="D83">
            <v>93.894889831542969</v>
          </cell>
          <cell r="E83">
            <v>30.9305534362793</v>
          </cell>
          <cell r="F83">
            <v>40.228790283203118</v>
          </cell>
        </row>
        <row r="84">
          <cell r="A84">
            <v>42272</v>
          </cell>
          <cell r="B84">
            <v>71.810752868652344</v>
          </cell>
          <cell r="C84">
            <v>22.609685897827148</v>
          </cell>
          <cell r="D84">
            <v>92.263832092285156</v>
          </cell>
          <cell r="E84">
            <v>30.92197418212891</v>
          </cell>
          <cell r="F84">
            <v>40.191013336181641</v>
          </cell>
        </row>
        <row r="85">
          <cell r="A85">
            <v>42275</v>
          </cell>
          <cell r="B85">
            <v>68.440292358398438</v>
          </cell>
          <cell r="C85">
            <v>22.570444107055661</v>
          </cell>
          <cell r="D85">
            <v>88.723251342773438</v>
          </cell>
          <cell r="E85">
            <v>30.398744583129879</v>
          </cell>
          <cell r="F85">
            <v>39.677482604980469</v>
          </cell>
        </row>
        <row r="86">
          <cell r="A86">
            <v>42276</v>
          </cell>
          <cell r="B86">
            <v>67.786026000976563</v>
          </cell>
          <cell r="C86">
            <v>22.947139739990231</v>
          </cell>
          <cell r="D86">
            <v>86.197120666503906</v>
          </cell>
          <cell r="E86">
            <v>30.45877647399902</v>
          </cell>
          <cell r="F86">
            <v>39.594432830810547</v>
          </cell>
        </row>
        <row r="87">
          <cell r="A87">
            <v>42277</v>
          </cell>
          <cell r="B87">
            <v>68.826896667480469</v>
          </cell>
          <cell r="C87">
            <v>23.653444290161129</v>
          </cell>
          <cell r="D87">
            <v>89.409500122070313</v>
          </cell>
          <cell r="E87">
            <v>30.98200798034668</v>
          </cell>
          <cell r="F87">
            <v>40.576164245605469</v>
          </cell>
        </row>
        <row r="88">
          <cell r="A88">
            <v>42278</v>
          </cell>
          <cell r="B88">
            <v>72.276679992675781</v>
          </cell>
          <cell r="C88">
            <v>23.543575286865231</v>
          </cell>
          <cell r="D88">
            <v>90.453765869140625</v>
          </cell>
          <cell r="E88">
            <v>31.084941864013668</v>
          </cell>
          <cell r="F88">
            <v>40.160808563232422</v>
          </cell>
        </row>
        <row r="89">
          <cell r="A89">
            <v>42279</v>
          </cell>
          <cell r="B89">
            <v>73.287818908691406</v>
          </cell>
          <cell r="C89">
            <v>23.943817138671879</v>
          </cell>
          <cell r="D89">
            <v>91.567657470703125</v>
          </cell>
          <cell r="E89">
            <v>31.642488479614261</v>
          </cell>
          <cell r="F89">
            <v>41.588108062744141</v>
          </cell>
        </row>
        <row r="90">
          <cell r="A90">
            <v>42282</v>
          </cell>
          <cell r="B90">
            <v>74.616165161132813</v>
          </cell>
          <cell r="C90">
            <v>24.4931640625</v>
          </cell>
          <cell r="D90">
            <v>93.497077941894531</v>
          </cell>
          <cell r="E90">
            <v>32.242912292480469</v>
          </cell>
          <cell r="F90">
            <v>42.464118957519531</v>
          </cell>
        </row>
        <row r="91">
          <cell r="A91">
            <v>42283</v>
          </cell>
          <cell r="B91">
            <v>73.773551940917969</v>
          </cell>
          <cell r="C91">
            <v>24.909109115600589</v>
          </cell>
          <cell r="D91">
            <v>92.293670654296875</v>
          </cell>
          <cell r="E91">
            <v>32.363002777099609</v>
          </cell>
          <cell r="F91">
            <v>42.532093048095703</v>
          </cell>
        </row>
        <row r="92">
          <cell r="A92">
            <v>42284</v>
          </cell>
          <cell r="B92">
            <v>74.348526000976563</v>
          </cell>
          <cell r="C92">
            <v>25.364284515380859</v>
          </cell>
          <cell r="D92">
            <v>91.895858764648438</v>
          </cell>
          <cell r="E92">
            <v>32.302947998046882</v>
          </cell>
          <cell r="F92">
            <v>42.751106262207031</v>
          </cell>
        </row>
        <row r="93">
          <cell r="A93">
            <v>42285</v>
          </cell>
          <cell r="B93">
            <v>74.437728881835938</v>
          </cell>
          <cell r="C93">
            <v>25.521247863769531</v>
          </cell>
          <cell r="D93">
            <v>91.965476989746094</v>
          </cell>
          <cell r="E93">
            <v>32.500240325927727</v>
          </cell>
          <cell r="F93">
            <v>43.544044494628913</v>
          </cell>
        </row>
        <row r="94">
          <cell r="A94">
            <v>42286</v>
          </cell>
          <cell r="B94">
            <v>74.596351623535156</v>
          </cell>
          <cell r="C94">
            <v>25.223018646240231</v>
          </cell>
          <cell r="D94">
            <v>92.73126220703125</v>
          </cell>
          <cell r="E94">
            <v>32.810260772705078</v>
          </cell>
          <cell r="F94">
            <v>43.634670257568359</v>
          </cell>
        </row>
        <row r="95">
          <cell r="A95">
            <v>42289</v>
          </cell>
          <cell r="B95">
            <v>75.220863342285156</v>
          </cell>
          <cell r="C95">
            <v>25.277950286865231</v>
          </cell>
          <cell r="D95">
            <v>93.745704650878906</v>
          </cell>
          <cell r="E95">
            <v>32.758598327636719</v>
          </cell>
          <cell r="F95">
            <v>43.642223358154297</v>
          </cell>
        </row>
        <row r="96">
          <cell r="A96">
            <v>42290</v>
          </cell>
          <cell r="B96">
            <v>75.964347839355469</v>
          </cell>
          <cell r="C96">
            <v>25.144538879394531</v>
          </cell>
          <cell r="D96">
            <v>93.606468200683594</v>
          </cell>
          <cell r="E96">
            <v>32.569141387939453</v>
          </cell>
          <cell r="F96">
            <v>43.430770874023438</v>
          </cell>
        </row>
        <row r="97">
          <cell r="A97">
            <v>42291</v>
          </cell>
          <cell r="B97">
            <v>74.923477172851563</v>
          </cell>
          <cell r="C97">
            <v>25.74098014831543</v>
          </cell>
          <cell r="D97">
            <v>93.556747436523438</v>
          </cell>
          <cell r="E97">
            <v>32.086883544921882</v>
          </cell>
          <cell r="F97">
            <v>44.276576995849609</v>
          </cell>
        </row>
        <row r="98">
          <cell r="A98">
            <v>42292</v>
          </cell>
          <cell r="B98">
            <v>77.025062561035156</v>
          </cell>
          <cell r="C98">
            <v>25.701740264892582</v>
          </cell>
          <cell r="D98">
            <v>95.436439514160156</v>
          </cell>
          <cell r="E98">
            <v>32.336605072021477</v>
          </cell>
          <cell r="F98">
            <v>44.752342224121087</v>
          </cell>
        </row>
        <row r="99">
          <cell r="A99">
            <v>42293</v>
          </cell>
          <cell r="B99">
            <v>78.085762023925781</v>
          </cell>
          <cell r="C99">
            <v>25.929325103759769</v>
          </cell>
          <cell r="D99">
            <v>97.007820129394531</v>
          </cell>
          <cell r="E99">
            <v>32.181606292724609</v>
          </cell>
          <cell r="F99">
            <v>45.243217468261719</v>
          </cell>
        </row>
        <row r="100">
          <cell r="A100">
            <v>42296</v>
          </cell>
          <cell r="B100">
            <v>77.253067016601563</v>
          </cell>
          <cell r="C100">
            <v>26.360960006713871</v>
          </cell>
          <cell r="D100">
            <v>97.932731628417969</v>
          </cell>
          <cell r="E100">
            <v>31.751039505004879</v>
          </cell>
          <cell r="F100">
            <v>44.631519317626953</v>
          </cell>
        </row>
        <row r="101">
          <cell r="A101">
            <v>42297</v>
          </cell>
          <cell r="B101">
            <v>76.856544494628906</v>
          </cell>
          <cell r="C101">
            <v>26.24323844909668</v>
          </cell>
          <cell r="D101">
            <v>96.470756530761719</v>
          </cell>
          <cell r="E101">
            <v>31.742403030395511</v>
          </cell>
          <cell r="F101">
            <v>44.555995941162109</v>
          </cell>
        </row>
        <row r="102">
          <cell r="A102">
            <v>42298</v>
          </cell>
          <cell r="B102">
            <v>75.17132568359375</v>
          </cell>
          <cell r="C102">
            <v>26.188308715820309</v>
          </cell>
          <cell r="D102">
            <v>96.580154418945313</v>
          </cell>
          <cell r="E102">
            <v>31.53574180603027</v>
          </cell>
          <cell r="F102">
            <v>44.533351898193359</v>
          </cell>
        </row>
        <row r="103">
          <cell r="A103">
            <v>42299</v>
          </cell>
          <cell r="B103">
            <v>76.697929382324219</v>
          </cell>
          <cell r="C103">
            <v>26.996637344360352</v>
          </cell>
          <cell r="D103">
            <v>99.126190185546875</v>
          </cell>
          <cell r="E103">
            <v>32.543292999267578</v>
          </cell>
          <cell r="F103">
            <v>45.635898590087891</v>
          </cell>
        </row>
        <row r="104">
          <cell r="A104">
            <v>42300</v>
          </cell>
          <cell r="B104">
            <v>77.877601623535156</v>
          </cell>
          <cell r="C104">
            <v>27.389032363891602</v>
          </cell>
          <cell r="D104">
            <v>101.632438659668</v>
          </cell>
          <cell r="E104">
            <v>32.784416198730469</v>
          </cell>
          <cell r="F104">
            <v>45.862468719482422</v>
          </cell>
        </row>
        <row r="105">
          <cell r="A105">
            <v>42303</v>
          </cell>
          <cell r="B105">
            <v>77.540550231933594</v>
          </cell>
          <cell r="C105">
            <v>27.145750045776371</v>
          </cell>
          <cell r="D105">
            <v>103.2038116455078</v>
          </cell>
          <cell r="E105">
            <v>33.042766571044922</v>
          </cell>
          <cell r="F105">
            <v>44.714584350585938</v>
          </cell>
        </row>
        <row r="106">
          <cell r="A106">
            <v>42304</v>
          </cell>
          <cell r="B106">
            <v>77.074630737304688</v>
          </cell>
          <cell r="C106">
            <v>27.051582336425781</v>
          </cell>
          <cell r="D106">
            <v>103.1341857910156</v>
          </cell>
          <cell r="E106">
            <v>33.016929626464837</v>
          </cell>
          <cell r="F106">
            <v>44.767444610595703</v>
          </cell>
        </row>
        <row r="107">
          <cell r="A107">
            <v>42305</v>
          </cell>
          <cell r="B107">
            <v>77.847854614257813</v>
          </cell>
          <cell r="C107">
            <v>27.23991584777832</v>
          </cell>
          <cell r="D107">
            <v>103.631462097168</v>
          </cell>
          <cell r="E107">
            <v>33.481964111328118</v>
          </cell>
          <cell r="F107">
            <v>45.515071868896477</v>
          </cell>
        </row>
        <row r="108">
          <cell r="A108">
            <v>42306</v>
          </cell>
          <cell r="B108">
            <v>77.46124267578125</v>
          </cell>
          <cell r="C108">
            <v>26.706264495849609</v>
          </cell>
          <cell r="D108">
            <v>104.30776214599609</v>
          </cell>
          <cell r="E108">
            <v>33.464740753173828</v>
          </cell>
          <cell r="F108">
            <v>45.311172485351563</v>
          </cell>
        </row>
        <row r="109">
          <cell r="A109">
            <v>42307</v>
          </cell>
          <cell r="B109">
            <v>77.034980773925781</v>
          </cell>
          <cell r="C109">
            <v>26.572854995727539</v>
          </cell>
          <cell r="D109">
            <v>101.41363525390619</v>
          </cell>
          <cell r="E109">
            <v>33.447517395019531</v>
          </cell>
          <cell r="F109">
            <v>44.8731689453125</v>
          </cell>
        </row>
        <row r="110">
          <cell r="A110">
            <v>42310</v>
          </cell>
          <cell r="B110">
            <v>78.51202392578125</v>
          </cell>
          <cell r="C110">
            <v>26.769044876098629</v>
          </cell>
          <cell r="D110">
            <v>102.74632263183589</v>
          </cell>
          <cell r="E110">
            <v>34.231174468994141</v>
          </cell>
          <cell r="F110">
            <v>45.794498443603523</v>
          </cell>
        </row>
        <row r="111">
          <cell r="A111">
            <v>42311</v>
          </cell>
          <cell r="B111">
            <v>77.946975708007813</v>
          </cell>
          <cell r="C111">
            <v>26.926004409790039</v>
          </cell>
          <cell r="D111">
            <v>102.0203094482422</v>
          </cell>
          <cell r="E111">
            <v>34.618698120117188</v>
          </cell>
          <cell r="F111">
            <v>45.96820068359375</v>
          </cell>
        </row>
        <row r="112">
          <cell r="A112">
            <v>42312</v>
          </cell>
          <cell r="B112">
            <v>77.709060668945313</v>
          </cell>
          <cell r="C112">
            <v>26.989229202270511</v>
          </cell>
          <cell r="D112">
            <v>103.3728942871094</v>
          </cell>
          <cell r="E112">
            <v>34.859817504882813</v>
          </cell>
          <cell r="F112">
            <v>45.507518768310547</v>
          </cell>
        </row>
        <row r="113">
          <cell r="A113">
            <v>42313</v>
          </cell>
          <cell r="B113">
            <v>78.026283264160156</v>
          </cell>
          <cell r="C113">
            <v>26.870687484741211</v>
          </cell>
          <cell r="D113">
            <v>108.1665954589844</v>
          </cell>
          <cell r="E113">
            <v>34.74786376953125</v>
          </cell>
          <cell r="F113">
            <v>38.567359924316413</v>
          </cell>
        </row>
        <row r="114">
          <cell r="A114">
            <v>42314</v>
          </cell>
          <cell r="B114">
            <v>78.72021484375</v>
          </cell>
          <cell r="C114">
            <v>26.74423789978027</v>
          </cell>
          <cell r="D114">
            <v>106.51564788818359</v>
          </cell>
          <cell r="E114">
            <v>34.980388641357422</v>
          </cell>
          <cell r="F114">
            <v>40.342060089111328</v>
          </cell>
        </row>
        <row r="115">
          <cell r="A115">
            <v>42317</v>
          </cell>
          <cell r="B115">
            <v>77.540550231933594</v>
          </cell>
          <cell r="C115">
            <v>26.356975555419918</v>
          </cell>
          <cell r="D115">
            <v>105.9089813232422</v>
          </cell>
          <cell r="E115">
            <v>34.532577514648438</v>
          </cell>
          <cell r="F115">
            <v>39.979564666748047</v>
          </cell>
        </row>
        <row r="116">
          <cell r="A116">
            <v>42318</v>
          </cell>
          <cell r="B116">
            <v>77.570289611816406</v>
          </cell>
          <cell r="C116">
            <v>26.246339797973629</v>
          </cell>
          <cell r="D116">
            <v>107.3212356567383</v>
          </cell>
          <cell r="E116">
            <v>34.377567291259773</v>
          </cell>
          <cell r="F116">
            <v>39.473590850830078</v>
          </cell>
        </row>
        <row r="117">
          <cell r="A117">
            <v>42319</v>
          </cell>
          <cell r="B117">
            <v>78.026283264160156</v>
          </cell>
          <cell r="C117">
            <v>25.969730377197269</v>
          </cell>
          <cell r="D117">
            <v>108.4152297973633</v>
          </cell>
          <cell r="E117">
            <v>33.619747161865227</v>
          </cell>
          <cell r="F117">
            <v>39.911609649658203</v>
          </cell>
        </row>
        <row r="118">
          <cell r="A118">
            <v>42320</v>
          </cell>
          <cell r="B118">
            <v>77.619857788085938</v>
          </cell>
          <cell r="C118">
            <v>25.60617828369141</v>
          </cell>
          <cell r="D118">
            <v>107.4306259155273</v>
          </cell>
          <cell r="E118">
            <v>33.266674041748047</v>
          </cell>
          <cell r="F118">
            <v>39.707691192626953</v>
          </cell>
        </row>
        <row r="119">
          <cell r="A119">
            <v>42321</v>
          </cell>
          <cell r="B119">
            <v>74.94329833984375</v>
          </cell>
          <cell r="C119">
            <v>25.376993179321289</v>
          </cell>
          <cell r="D119">
            <v>103.38282775878911</v>
          </cell>
          <cell r="E119">
            <v>32.121322631835938</v>
          </cell>
          <cell r="F119">
            <v>39.224384307861328</v>
          </cell>
        </row>
        <row r="120">
          <cell r="A120">
            <v>42324</v>
          </cell>
          <cell r="B120">
            <v>75.597572326660156</v>
          </cell>
          <cell r="C120">
            <v>25.369089126586911</v>
          </cell>
          <cell r="D120">
            <v>103.4723434448242</v>
          </cell>
          <cell r="E120">
            <v>32.827465057373047</v>
          </cell>
          <cell r="F120">
            <v>39.851177215576172</v>
          </cell>
        </row>
        <row r="121">
          <cell r="A121">
            <v>42325</v>
          </cell>
          <cell r="B121">
            <v>76.569061279296875</v>
          </cell>
          <cell r="C121">
            <v>25.795854568481449</v>
          </cell>
          <cell r="D121">
            <v>104.5563888549805</v>
          </cell>
          <cell r="E121">
            <v>32.836086273193359</v>
          </cell>
          <cell r="F121">
            <v>40.009773254394531</v>
          </cell>
        </row>
        <row r="122">
          <cell r="A122">
            <v>42326</v>
          </cell>
          <cell r="B122">
            <v>76.678108215332031</v>
          </cell>
          <cell r="C122">
            <v>26.206821441650391</v>
          </cell>
          <cell r="D122">
            <v>107.18199157714839</v>
          </cell>
          <cell r="E122">
            <v>33.326946258544922</v>
          </cell>
          <cell r="F122">
            <v>36.248954772949219</v>
          </cell>
        </row>
        <row r="123">
          <cell r="A123">
            <v>42327</v>
          </cell>
          <cell r="B123">
            <v>79.939521789550781</v>
          </cell>
          <cell r="C123">
            <v>27.107780456542969</v>
          </cell>
          <cell r="D123">
            <v>105.6802291870117</v>
          </cell>
          <cell r="E123">
            <v>33.602523803710938</v>
          </cell>
          <cell r="F123">
            <v>36.543468475341797</v>
          </cell>
        </row>
        <row r="124">
          <cell r="A124">
            <v>42328</v>
          </cell>
          <cell r="B124">
            <v>80.286483764648438</v>
          </cell>
          <cell r="C124">
            <v>27.392288208007809</v>
          </cell>
          <cell r="D124">
            <v>106.7344436645508</v>
          </cell>
          <cell r="E124">
            <v>33.878089904785163</v>
          </cell>
          <cell r="F124">
            <v>37.472347259521477</v>
          </cell>
        </row>
        <row r="125">
          <cell r="A125">
            <v>42331</v>
          </cell>
          <cell r="B125">
            <v>80.07830810546875</v>
          </cell>
          <cell r="C125">
            <v>27.25003623962402</v>
          </cell>
          <cell r="D125">
            <v>106.366455078125</v>
          </cell>
          <cell r="E125">
            <v>33.705856323242188</v>
          </cell>
          <cell r="F125">
            <v>36.981475830078118</v>
          </cell>
        </row>
        <row r="126">
          <cell r="A126">
            <v>42332</v>
          </cell>
          <cell r="B126">
            <v>79.691696166992188</v>
          </cell>
          <cell r="C126">
            <v>27.15520095825195</v>
          </cell>
          <cell r="D126">
            <v>105.16306304931641</v>
          </cell>
          <cell r="E126">
            <v>33.9814453125</v>
          </cell>
          <cell r="F126">
            <v>37.313751220703118</v>
          </cell>
        </row>
        <row r="127">
          <cell r="A127">
            <v>42333</v>
          </cell>
          <cell r="B127">
            <v>79.711524963378906</v>
          </cell>
          <cell r="C127">
            <v>27.226327896118161</v>
          </cell>
          <cell r="D127">
            <v>104.83486175537109</v>
          </cell>
          <cell r="E127">
            <v>33.809200286865227</v>
          </cell>
          <cell r="F127">
            <v>37.07965087890625</v>
          </cell>
        </row>
        <row r="128">
          <cell r="A128">
            <v>42335</v>
          </cell>
          <cell r="B128">
            <v>79.275344848632813</v>
          </cell>
          <cell r="C128">
            <v>27.234226226806641</v>
          </cell>
          <cell r="D128">
            <v>104.87464904785161</v>
          </cell>
          <cell r="E128">
            <v>33.740314483642578</v>
          </cell>
          <cell r="F128">
            <v>37.018642425537109</v>
          </cell>
        </row>
        <row r="129">
          <cell r="A129">
            <v>42338</v>
          </cell>
          <cell r="B129">
            <v>78.997779846191406</v>
          </cell>
          <cell r="C129">
            <v>27.479228973388668</v>
          </cell>
          <cell r="D129">
            <v>103.67124938964839</v>
          </cell>
          <cell r="E129">
            <v>33.559467315673828</v>
          </cell>
          <cell r="F129">
            <v>37.209300994873047</v>
          </cell>
        </row>
        <row r="130">
          <cell r="A130">
            <v>42339</v>
          </cell>
          <cell r="B130">
            <v>80.306320190429688</v>
          </cell>
          <cell r="C130">
            <v>27.732120513916019</v>
          </cell>
          <cell r="D130">
            <v>106.53553771972661</v>
          </cell>
          <cell r="E130">
            <v>33.783363342285163</v>
          </cell>
          <cell r="F130">
            <v>37.598232269287109</v>
          </cell>
        </row>
        <row r="131">
          <cell r="A131">
            <v>42340</v>
          </cell>
          <cell r="B131">
            <v>80.177436828613281</v>
          </cell>
          <cell r="C131">
            <v>27.52664947509766</v>
          </cell>
          <cell r="D131">
            <v>105.49127197265619</v>
          </cell>
          <cell r="E131">
            <v>33.326946258544922</v>
          </cell>
          <cell r="F131">
            <v>39.542980194091797</v>
          </cell>
        </row>
        <row r="132">
          <cell r="A132">
            <v>42341</v>
          </cell>
          <cell r="B132">
            <v>79.235694885253906</v>
          </cell>
          <cell r="C132">
            <v>26.90229606628418</v>
          </cell>
          <cell r="D132">
            <v>103.81048583984381</v>
          </cell>
          <cell r="E132">
            <v>32.560520172119141</v>
          </cell>
          <cell r="F132">
            <v>39.199802398681641</v>
          </cell>
        </row>
        <row r="133">
          <cell r="A133">
            <v>42342</v>
          </cell>
          <cell r="B133">
            <v>81.426490783691406</v>
          </cell>
          <cell r="C133">
            <v>27.613578796386719</v>
          </cell>
          <cell r="D133">
            <v>105.6006698608398</v>
          </cell>
          <cell r="E133">
            <v>33.723079681396477</v>
          </cell>
          <cell r="F133">
            <v>39.916671752929688</v>
          </cell>
        </row>
        <row r="134">
          <cell r="A134">
            <v>42345</v>
          </cell>
          <cell r="B134">
            <v>79.979179382324219</v>
          </cell>
          <cell r="C134">
            <v>27.65309906005859</v>
          </cell>
          <cell r="D134">
            <v>105.0337753295898</v>
          </cell>
          <cell r="E134">
            <v>33.430282592773438</v>
          </cell>
          <cell r="F134">
            <v>39.985328674316413</v>
          </cell>
        </row>
        <row r="135">
          <cell r="A135">
            <v>42346</v>
          </cell>
          <cell r="B135">
            <v>80.375709533691406</v>
          </cell>
          <cell r="C135">
            <v>27.463420867919918</v>
          </cell>
          <cell r="D135">
            <v>105.9089813232422</v>
          </cell>
          <cell r="E135">
            <v>33.352790832519531</v>
          </cell>
          <cell r="F135">
            <v>37.735523223876953</v>
          </cell>
        </row>
        <row r="136">
          <cell r="A136">
            <v>42347</v>
          </cell>
          <cell r="B136">
            <v>79.017601013183594</v>
          </cell>
          <cell r="C136">
            <v>27.510837554931641</v>
          </cell>
          <cell r="D136">
            <v>104.02928161621089</v>
          </cell>
          <cell r="E136">
            <v>33.223617553710938</v>
          </cell>
          <cell r="F136">
            <v>37.056766510009773</v>
          </cell>
        </row>
        <row r="137">
          <cell r="A137">
            <v>42348</v>
          </cell>
          <cell r="B137">
            <v>78.690460205078125</v>
          </cell>
          <cell r="C137">
            <v>27.479228973388668</v>
          </cell>
          <cell r="D137">
            <v>104.8448104858398</v>
          </cell>
          <cell r="E137">
            <v>32.887771606445313</v>
          </cell>
          <cell r="F137">
            <v>37.041519165039063</v>
          </cell>
        </row>
        <row r="138">
          <cell r="A138">
            <v>42349</v>
          </cell>
          <cell r="B138">
            <v>76.2022705078125</v>
          </cell>
          <cell r="C138">
            <v>27.084072113037109</v>
          </cell>
          <cell r="D138">
            <v>101.5628204345703</v>
          </cell>
          <cell r="E138">
            <v>32.043815612792969</v>
          </cell>
          <cell r="F138">
            <v>36.194976806640618</v>
          </cell>
        </row>
        <row r="139">
          <cell r="A139">
            <v>42352</v>
          </cell>
          <cell r="B139">
            <v>76.32122802734375</v>
          </cell>
          <cell r="C139">
            <v>27.24213981628418</v>
          </cell>
          <cell r="D139">
            <v>104.08896636962891</v>
          </cell>
          <cell r="E139">
            <v>32.422740936279297</v>
          </cell>
          <cell r="F139">
            <v>35.714519500732422</v>
          </cell>
        </row>
        <row r="140">
          <cell r="A140">
            <v>42353</v>
          </cell>
          <cell r="B140">
            <v>76.697929382324219</v>
          </cell>
          <cell r="C140">
            <v>27.80325889587402</v>
          </cell>
          <cell r="D140">
            <v>103.9795608520508</v>
          </cell>
          <cell r="E140">
            <v>32.904987335205078</v>
          </cell>
          <cell r="F140">
            <v>36.622058868408203</v>
          </cell>
        </row>
        <row r="141">
          <cell r="A141">
            <v>42354</v>
          </cell>
          <cell r="B141">
            <v>78.204727172851563</v>
          </cell>
          <cell r="C141">
            <v>27.898086547851559</v>
          </cell>
          <cell r="D141">
            <v>106.20733642578119</v>
          </cell>
          <cell r="E141">
            <v>33.507789611816413</v>
          </cell>
          <cell r="F141">
            <v>36.660198211669922</v>
          </cell>
        </row>
        <row r="142">
          <cell r="A142">
            <v>42355</v>
          </cell>
          <cell r="B142">
            <v>77.74871826171875</v>
          </cell>
          <cell r="C142">
            <v>27.589874267578121</v>
          </cell>
          <cell r="D142">
            <v>105.64044189453119</v>
          </cell>
          <cell r="E142">
            <v>31.802694320678711</v>
          </cell>
          <cell r="F142">
            <v>36.255989074707031</v>
          </cell>
        </row>
        <row r="143">
          <cell r="A143">
            <v>42356</v>
          </cell>
          <cell r="B143">
            <v>76.360877990722656</v>
          </cell>
          <cell r="C143">
            <v>26.7679443359375</v>
          </cell>
          <cell r="D143">
            <v>103.4723434448242</v>
          </cell>
          <cell r="E143">
            <v>31.303224563598629</v>
          </cell>
          <cell r="F143">
            <v>36.172103881835938</v>
          </cell>
        </row>
        <row r="144">
          <cell r="A144">
            <v>42359</v>
          </cell>
          <cell r="B144">
            <v>76.618621826171875</v>
          </cell>
          <cell r="C144">
            <v>27.060361862182621</v>
          </cell>
          <cell r="D144">
            <v>104.198356628418</v>
          </cell>
          <cell r="E144">
            <v>31.363504409790039</v>
          </cell>
          <cell r="F144">
            <v>37.186420440673828</v>
          </cell>
        </row>
        <row r="145">
          <cell r="A145">
            <v>42360</v>
          </cell>
          <cell r="B145">
            <v>77.183677673339844</v>
          </cell>
          <cell r="C145">
            <v>27.447610855102539</v>
          </cell>
          <cell r="D145">
            <v>104.9343185424805</v>
          </cell>
          <cell r="E145">
            <v>31.509902954101559</v>
          </cell>
          <cell r="F145">
            <v>37.422843933105469</v>
          </cell>
        </row>
        <row r="146">
          <cell r="A146">
            <v>42361</v>
          </cell>
          <cell r="B146">
            <v>77.362106323242188</v>
          </cell>
          <cell r="C146">
            <v>27.660993576049801</v>
          </cell>
          <cell r="D146">
            <v>104.0591201782227</v>
          </cell>
          <cell r="E146">
            <v>31.802694320678711</v>
          </cell>
          <cell r="F146">
            <v>37.39996337890625</v>
          </cell>
        </row>
        <row r="147">
          <cell r="A147">
            <v>42362</v>
          </cell>
          <cell r="B147">
            <v>77.153945922851563</v>
          </cell>
          <cell r="C147">
            <v>27.64519119262695</v>
          </cell>
          <cell r="D147">
            <v>104.44699859619141</v>
          </cell>
          <cell r="E147">
            <v>31.871583938598629</v>
          </cell>
          <cell r="F147">
            <v>37.788917541503913</v>
          </cell>
        </row>
        <row r="148">
          <cell r="A148">
            <v>42366</v>
          </cell>
          <cell r="B148">
            <v>77.520713806152344</v>
          </cell>
          <cell r="C148">
            <v>27.605682373046879</v>
          </cell>
          <cell r="D148">
            <v>105.35203552246089</v>
          </cell>
          <cell r="E148">
            <v>31.682138442993161</v>
          </cell>
          <cell r="F148">
            <v>37.811790466308587</v>
          </cell>
        </row>
        <row r="149">
          <cell r="A149">
            <v>42367</v>
          </cell>
          <cell r="B149">
            <v>78.749954223632813</v>
          </cell>
          <cell r="C149">
            <v>28.008737564086911</v>
          </cell>
          <cell r="D149">
            <v>106.67478179931641</v>
          </cell>
          <cell r="E149">
            <v>31.89742279052734</v>
          </cell>
          <cell r="F149">
            <v>38.803234100341797</v>
          </cell>
        </row>
        <row r="150">
          <cell r="A150">
            <v>42368</v>
          </cell>
          <cell r="B150">
            <v>78.452552795410156</v>
          </cell>
          <cell r="C150">
            <v>27.65309906005859</v>
          </cell>
          <cell r="D150">
            <v>105.64044189453119</v>
          </cell>
          <cell r="E150">
            <v>31.794086456298832</v>
          </cell>
          <cell r="F150">
            <v>38.444782257080078</v>
          </cell>
        </row>
        <row r="151">
          <cell r="A151">
            <v>42369</v>
          </cell>
          <cell r="B151">
            <v>77.718978881835938</v>
          </cell>
          <cell r="C151">
            <v>27.226327896118161</v>
          </cell>
          <cell r="D151">
            <v>104.08896636962891</v>
          </cell>
          <cell r="E151">
            <v>31.458232879638668</v>
          </cell>
          <cell r="F151">
            <v>38.124477386474609</v>
          </cell>
        </row>
        <row r="152">
          <cell r="A152">
            <v>42373</v>
          </cell>
          <cell r="B152">
            <v>76.043663024902344</v>
          </cell>
          <cell r="C152">
            <v>26.862783432006839</v>
          </cell>
          <cell r="D152">
            <v>101.6622772216797</v>
          </cell>
          <cell r="E152">
            <v>30.913461685180661</v>
          </cell>
          <cell r="F152">
            <v>38.223621368408203</v>
          </cell>
        </row>
        <row r="153">
          <cell r="A153">
            <v>42374</v>
          </cell>
          <cell r="B153">
            <v>76.380714416503906</v>
          </cell>
          <cell r="C153">
            <v>26.736331939697269</v>
          </cell>
          <cell r="D153">
            <v>102.16949462890619</v>
          </cell>
          <cell r="E153">
            <v>30.818344116210941</v>
          </cell>
          <cell r="F153">
            <v>37.476226806640618</v>
          </cell>
        </row>
        <row r="154">
          <cell r="A154">
            <v>42375</v>
          </cell>
          <cell r="B154">
            <v>75.627311706542969</v>
          </cell>
          <cell r="C154">
            <v>26.14359283447266</v>
          </cell>
          <cell r="D154">
            <v>102.4081726074219</v>
          </cell>
          <cell r="E154">
            <v>30.973993301391602</v>
          </cell>
          <cell r="F154">
            <v>37.094902038574219</v>
          </cell>
        </row>
        <row r="155">
          <cell r="A155">
            <v>42376</v>
          </cell>
          <cell r="B155">
            <v>73.654594421386719</v>
          </cell>
          <cell r="C155">
            <v>25.16361045837402</v>
          </cell>
          <cell r="D155">
            <v>97.385734558105469</v>
          </cell>
          <cell r="E155">
            <v>30.29952430725098</v>
          </cell>
          <cell r="F155">
            <v>35.188301086425781</v>
          </cell>
        </row>
        <row r="156">
          <cell r="A156">
            <v>42377</v>
          </cell>
          <cell r="B156">
            <v>72.593894958496094</v>
          </cell>
          <cell r="C156">
            <v>24.902803421020511</v>
          </cell>
          <cell r="D156">
            <v>96.798957824707031</v>
          </cell>
          <cell r="E156">
            <v>29.962276458740231</v>
          </cell>
          <cell r="F156">
            <v>34.990016937255859</v>
          </cell>
        </row>
        <row r="157">
          <cell r="A157">
            <v>42380</v>
          </cell>
          <cell r="B157">
            <v>72.544319152832031</v>
          </cell>
          <cell r="C157">
            <v>25.337478637695309</v>
          </cell>
          <cell r="D157">
            <v>96.977981567382813</v>
          </cell>
          <cell r="E157">
            <v>30.213047027587891</v>
          </cell>
          <cell r="F157">
            <v>35.134914398193359</v>
          </cell>
        </row>
        <row r="158">
          <cell r="A158">
            <v>42381</v>
          </cell>
          <cell r="B158">
            <v>73.813201904296875</v>
          </cell>
          <cell r="C158">
            <v>25.827468872070309</v>
          </cell>
          <cell r="D158">
            <v>98.827827453613281</v>
          </cell>
          <cell r="E158">
            <v>30.584869384765621</v>
          </cell>
          <cell r="F158">
            <v>35.478107452392578</v>
          </cell>
        </row>
        <row r="159">
          <cell r="A159">
            <v>42382</v>
          </cell>
          <cell r="B159">
            <v>71.721534729003906</v>
          </cell>
          <cell r="C159">
            <v>25.218923568725589</v>
          </cell>
          <cell r="D159">
            <v>94.919273376464844</v>
          </cell>
          <cell r="E159">
            <v>29.46939849853516</v>
          </cell>
          <cell r="F159">
            <v>35.157794952392578</v>
          </cell>
        </row>
        <row r="160">
          <cell r="A160">
            <v>42383</v>
          </cell>
          <cell r="B160">
            <v>72.435287475585938</v>
          </cell>
          <cell r="C160">
            <v>25.874887466430661</v>
          </cell>
          <cell r="D160">
            <v>97.833282470703125</v>
          </cell>
          <cell r="E160">
            <v>30.083333969116211</v>
          </cell>
          <cell r="F160">
            <v>36.400890350341797</v>
          </cell>
        </row>
        <row r="161">
          <cell r="A161">
            <v>42384</v>
          </cell>
          <cell r="B161">
            <v>70.244476318359375</v>
          </cell>
          <cell r="C161">
            <v>23.51975250244141</v>
          </cell>
          <cell r="D161">
            <v>94.451835632324219</v>
          </cell>
          <cell r="E161">
            <v>29.50397872924805</v>
          </cell>
          <cell r="F161">
            <v>34.944252014160163</v>
          </cell>
        </row>
        <row r="162">
          <cell r="A162">
            <v>42388</v>
          </cell>
          <cell r="B162">
            <v>70.185005187988281</v>
          </cell>
          <cell r="C162">
            <v>23.551362991333011</v>
          </cell>
          <cell r="D162">
            <v>94.740242004394531</v>
          </cell>
          <cell r="E162">
            <v>29.875808715820309</v>
          </cell>
          <cell r="F162">
            <v>35.150165557861328</v>
          </cell>
        </row>
        <row r="163">
          <cell r="A163">
            <v>42389</v>
          </cell>
          <cell r="B163">
            <v>69.719093322753906</v>
          </cell>
          <cell r="C163">
            <v>23.385395050048832</v>
          </cell>
          <cell r="D163">
            <v>93.835212707519531</v>
          </cell>
          <cell r="E163">
            <v>29.348325729370121</v>
          </cell>
          <cell r="F163">
            <v>35.028144836425781</v>
          </cell>
        </row>
        <row r="164">
          <cell r="A164">
            <v>42390</v>
          </cell>
          <cell r="B164">
            <v>68.906211853027344</v>
          </cell>
          <cell r="C164">
            <v>23.440719604492191</v>
          </cell>
          <cell r="D164">
            <v>93.646247863769531</v>
          </cell>
          <cell r="E164">
            <v>29.50397872924805</v>
          </cell>
          <cell r="F164">
            <v>35.882301330566413</v>
          </cell>
        </row>
        <row r="165">
          <cell r="A165">
            <v>42391</v>
          </cell>
          <cell r="B165">
            <v>70.928497314453125</v>
          </cell>
          <cell r="C165">
            <v>23.654106140136719</v>
          </cell>
          <cell r="D165">
            <v>97.405624389648438</v>
          </cell>
          <cell r="E165">
            <v>30.091987609863281</v>
          </cell>
          <cell r="F165">
            <v>36.660198211669922</v>
          </cell>
        </row>
        <row r="166">
          <cell r="A166">
            <v>42394</v>
          </cell>
          <cell r="B166">
            <v>69.312644958496094</v>
          </cell>
          <cell r="C166">
            <v>23.3932991027832</v>
          </cell>
          <cell r="D166">
            <v>96.480697631835938</v>
          </cell>
          <cell r="E166">
            <v>29.694223403930661</v>
          </cell>
          <cell r="F166">
            <v>36.286506652832031</v>
          </cell>
        </row>
        <row r="167">
          <cell r="A167">
            <v>42395</v>
          </cell>
          <cell r="B167">
            <v>69.263076782226563</v>
          </cell>
          <cell r="C167">
            <v>23.662008285522461</v>
          </cell>
          <cell r="D167">
            <v>96.80889892578125</v>
          </cell>
          <cell r="E167">
            <v>30.463811874389648</v>
          </cell>
          <cell r="F167">
            <v>37.003387451171882</v>
          </cell>
        </row>
        <row r="168">
          <cell r="A168">
            <v>42396</v>
          </cell>
          <cell r="B168">
            <v>66.844276428222656</v>
          </cell>
          <cell r="C168">
            <v>23.559268951416019</v>
          </cell>
          <cell r="D168">
            <v>93.934669494628906</v>
          </cell>
          <cell r="E168">
            <v>30.187103271484379</v>
          </cell>
          <cell r="F168">
            <v>36.248374938964837</v>
          </cell>
        </row>
        <row r="169">
          <cell r="A169">
            <v>42397</v>
          </cell>
          <cell r="B169">
            <v>65.119392395019531</v>
          </cell>
          <cell r="C169">
            <v>23.685714721679691</v>
          </cell>
          <cell r="D169">
            <v>108.5146865844727</v>
          </cell>
          <cell r="E169">
            <v>30.550291061401371</v>
          </cell>
          <cell r="F169">
            <v>33.243560791015618</v>
          </cell>
        </row>
        <row r="170">
          <cell r="A170">
            <v>42398</v>
          </cell>
          <cell r="B170">
            <v>67.468795776367188</v>
          </cell>
          <cell r="C170">
            <v>24.515546798706051</v>
          </cell>
          <cell r="D170">
            <v>111.597770690918</v>
          </cell>
          <cell r="E170">
            <v>31.397705078125</v>
          </cell>
          <cell r="F170">
            <v>34.57818603515625</v>
          </cell>
        </row>
        <row r="171">
          <cell r="A171">
            <v>42401</v>
          </cell>
          <cell r="B171">
            <v>67.845504760742188</v>
          </cell>
          <cell r="C171">
            <v>24.357484817504879</v>
          </cell>
          <cell r="D171">
            <v>114.462043762207</v>
          </cell>
          <cell r="E171">
            <v>31.40634918212891</v>
          </cell>
          <cell r="F171">
            <v>35.165424346923828</v>
          </cell>
        </row>
        <row r="172">
          <cell r="A172">
            <v>42402</v>
          </cell>
          <cell r="B172">
            <v>63.959537506103523</v>
          </cell>
          <cell r="C172">
            <v>23.551362991333011</v>
          </cell>
          <cell r="D172">
            <v>113.9846649169922</v>
          </cell>
          <cell r="E172">
            <v>30.56757736206055</v>
          </cell>
          <cell r="F172">
            <v>32.908000946044922</v>
          </cell>
        </row>
        <row r="173">
          <cell r="A173">
            <v>42403</v>
          </cell>
          <cell r="B173">
            <v>64.772415161132813</v>
          </cell>
          <cell r="C173">
            <v>23.391908645629879</v>
          </cell>
          <cell r="D173">
            <v>112.0751495361328</v>
          </cell>
          <cell r="E173">
            <v>30.861570358276371</v>
          </cell>
          <cell r="F173">
            <v>34.112968444824219</v>
          </cell>
        </row>
        <row r="174">
          <cell r="A174">
            <v>42404</v>
          </cell>
          <cell r="B174">
            <v>66.616264343261719</v>
          </cell>
          <cell r="C174">
            <v>23.73472785949707</v>
          </cell>
          <cell r="D174">
            <v>109.8871536254883</v>
          </cell>
          <cell r="E174">
            <v>31.518764495849609</v>
          </cell>
          <cell r="F174">
            <v>34.822235107421882</v>
          </cell>
        </row>
        <row r="175">
          <cell r="A175">
            <v>42405</v>
          </cell>
          <cell r="B175">
            <v>58.001750946044922</v>
          </cell>
          <cell r="C175">
            <v>23.152727127075199</v>
          </cell>
          <cell r="D175">
            <v>103.50218200683589</v>
          </cell>
          <cell r="E175">
            <v>30.870229721069339</v>
          </cell>
          <cell r="F175">
            <v>33.571498870849609</v>
          </cell>
        </row>
        <row r="176">
          <cell r="A176">
            <v>42408</v>
          </cell>
          <cell r="B176">
            <v>53.580497741699219</v>
          </cell>
          <cell r="C176">
            <v>22.977327346801761</v>
          </cell>
          <cell r="D176">
            <v>99.205757141113281</v>
          </cell>
          <cell r="E176">
            <v>30.792404174804691</v>
          </cell>
          <cell r="F176">
            <v>33.472347259521477</v>
          </cell>
        </row>
        <row r="177">
          <cell r="A177">
            <v>42409</v>
          </cell>
          <cell r="B177">
            <v>56.832008361816413</v>
          </cell>
          <cell r="C177">
            <v>22.969356536865231</v>
          </cell>
          <cell r="D177">
            <v>98.996902465820313</v>
          </cell>
          <cell r="E177">
            <v>30.334108352661129</v>
          </cell>
          <cell r="F177">
            <v>33.258800506591797</v>
          </cell>
        </row>
        <row r="178">
          <cell r="A178">
            <v>42410</v>
          </cell>
          <cell r="B178">
            <v>58.249580383300781</v>
          </cell>
          <cell r="C178">
            <v>22.50693511962891</v>
          </cell>
          <cell r="D178">
            <v>100.4489364624023</v>
          </cell>
          <cell r="E178">
            <v>30.437860488891602</v>
          </cell>
          <cell r="F178">
            <v>32.763103485107422</v>
          </cell>
        </row>
        <row r="179">
          <cell r="A179">
            <v>42411</v>
          </cell>
          <cell r="B179">
            <v>58.725414276123047</v>
          </cell>
          <cell r="C179">
            <v>22.498966217041019</v>
          </cell>
          <cell r="D179">
            <v>101.3539733886719</v>
          </cell>
          <cell r="E179">
            <v>30.12657356262207</v>
          </cell>
          <cell r="F179">
            <v>32.793617248535163</v>
          </cell>
        </row>
        <row r="180">
          <cell r="A180">
            <v>42412</v>
          </cell>
          <cell r="B180">
            <v>59.161598205566413</v>
          </cell>
          <cell r="C180">
            <v>22.833822250366211</v>
          </cell>
          <cell r="D180">
            <v>101.4534149169922</v>
          </cell>
          <cell r="E180">
            <v>30.731868743896481</v>
          </cell>
          <cell r="F180">
            <v>33.983329772949219</v>
          </cell>
        </row>
        <row r="181">
          <cell r="A181">
            <v>42416</v>
          </cell>
          <cell r="B181">
            <v>59.201248168945313</v>
          </cell>
          <cell r="C181">
            <v>22.945442199707031</v>
          </cell>
          <cell r="D181">
            <v>101.05560302734381</v>
          </cell>
          <cell r="E181">
            <v>30.870229721069339</v>
          </cell>
          <cell r="F181">
            <v>35.638252258300781</v>
          </cell>
        </row>
        <row r="182">
          <cell r="A182">
            <v>42417</v>
          </cell>
          <cell r="B182">
            <v>62.938499450683587</v>
          </cell>
          <cell r="C182">
            <v>23.495553970336911</v>
          </cell>
          <cell r="D182">
            <v>104.6260147094727</v>
          </cell>
          <cell r="E182">
            <v>31.67441368103027</v>
          </cell>
          <cell r="F182">
            <v>36.919490814208977</v>
          </cell>
        </row>
        <row r="183">
          <cell r="A183">
            <v>42418</v>
          </cell>
          <cell r="B183">
            <v>61.164051055908203</v>
          </cell>
          <cell r="C183">
            <v>23.455692291259769</v>
          </cell>
          <cell r="D183">
            <v>102.9054489135742</v>
          </cell>
          <cell r="E183">
            <v>31.67441368103027</v>
          </cell>
          <cell r="F183">
            <v>37.430458068847663</v>
          </cell>
        </row>
        <row r="184">
          <cell r="A184">
            <v>42419</v>
          </cell>
          <cell r="B184">
            <v>61.6002197265625</v>
          </cell>
          <cell r="C184">
            <v>22.88962554931641</v>
          </cell>
          <cell r="D184">
            <v>103.99945068359381</v>
          </cell>
          <cell r="E184">
            <v>31.804111480712891</v>
          </cell>
          <cell r="F184">
            <v>37.689773559570313</v>
          </cell>
        </row>
        <row r="185">
          <cell r="A185">
            <v>42422</v>
          </cell>
          <cell r="B185">
            <v>63.424243927001953</v>
          </cell>
          <cell r="C185">
            <v>23.399881362915039</v>
          </cell>
          <cell r="D185">
            <v>106.575325012207</v>
          </cell>
          <cell r="E185">
            <v>32.089473724365227</v>
          </cell>
          <cell r="F185">
            <v>39.108283996582031</v>
          </cell>
        </row>
        <row r="186">
          <cell r="A186">
            <v>42423</v>
          </cell>
          <cell r="B186">
            <v>62.353626251220703</v>
          </cell>
          <cell r="C186">
            <v>22.961380004882809</v>
          </cell>
          <cell r="D186">
            <v>104.8845977783203</v>
          </cell>
          <cell r="E186">
            <v>31.605224609375</v>
          </cell>
          <cell r="F186">
            <v>38.452407836914063</v>
          </cell>
        </row>
        <row r="187">
          <cell r="A187">
            <v>42424</v>
          </cell>
          <cell r="B187">
            <v>61.976921081542969</v>
          </cell>
          <cell r="C187">
            <v>23.272317886352539</v>
          </cell>
          <cell r="D187">
            <v>106.2968444824219</v>
          </cell>
          <cell r="E187">
            <v>31.67441368103027</v>
          </cell>
          <cell r="F187">
            <v>39.291316986083977</v>
          </cell>
        </row>
        <row r="188">
          <cell r="A188">
            <v>42425</v>
          </cell>
          <cell r="B188">
            <v>68.816978454589844</v>
          </cell>
          <cell r="C188">
            <v>23.615140914916989</v>
          </cell>
          <cell r="D188">
            <v>107.480354309082</v>
          </cell>
          <cell r="E188">
            <v>32.245121002197273</v>
          </cell>
          <cell r="F188">
            <v>39.382839202880859</v>
          </cell>
        </row>
        <row r="189">
          <cell r="A189">
            <v>42426</v>
          </cell>
          <cell r="B189">
            <v>69.1143798828125</v>
          </cell>
          <cell r="C189">
            <v>23.758651733398441</v>
          </cell>
          <cell r="D189">
            <v>107.3311767578125</v>
          </cell>
          <cell r="E189">
            <v>31.95976448059082</v>
          </cell>
          <cell r="F189">
            <v>39.367568969726563</v>
          </cell>
        </row>
        <row r="190">
          <cell r="A190">
            <v>42429</v>
          </cell>
          <cell r="B190">
            <v>67.1614990234375</v>
          </cell>
          <cell r="C190">
            <v>23.591228485107418</v>
          </cell>
          <cell r="D190">
            <v>106.3366317749023</v>
          </cell>
          <cell r="E190">
            <v>31.804111480712891</v>
          </cell>
          <cell r="F190">
            <v>39.098155975341797</v>
          </cell>
        </row>
        <row r="191">
          <cell r="A191">
            <v>42430</v>
          </cell>
          <cell r="B191">
            <v>69.411766052246094</v>
          </cell>
          <cell r="C191">
            <v>24.21309852600098</v>
          </cell>
          <cell r="D191">
            <v>109.22080993652339</v>
          </cell>
          <cell r="E191">
            <v>32.850418090820313</v>
          </cell>
          <cell r="F191">
            <v>40.114284515380859</v>
          </cell>
        </row>
        <row r="192">
          <cell r="A192">
            <v>42431</v>
          </cell>
          <cell r="B192">
            <v>69.818214416503906</v>
          </cell>
          <cell r="C192">
            <v>24.348628997802731</v>
          </cell>
          <cell r="D192">
            <v>109.3501052856445</v>
          </cell>
          <cell r="E192">
            <v>32.651531219482422</v>
          </cell>
          <cell r="F192">
            <v>40.683940887451172</v>
          </cell>
        </row>
        <row r="193">
          <cell r="A193">
            <v>42432</v>
          </cell>
          <cell r="B193">
            <v>70.185005187988281</v>
          </cell>
          <cell r="C193">
            <v>24.380527496337891</v>
          </cell>
          <cell r="D193">
            <v>108.98211669921881</v>
          </cell>
          <cell r="E193">
            <v>32.763946533203118</v>
          </cell>
          <cell r="F193">
            <v>40.322128295898438</v>
          </cell>
        </row>
        <row r="194">
          <cell r="A194">
            <v>42433</v>
          </cell>
          <cell r="B194">
            <v>70.442741394042969</v>
          </cell>
          <cell r="C194">
            <v>24.42038726806641</v>
          </cell>
          <cell r="D194">
            <v>107.79860687255859</v>
          </cell>
          <cell r="E194">
            <v>32.763946533203118</v>
          </cell>
          <cell r="F194">
            <v>40.537673950195313</v>
          </cell>
        </row>
        <row r="195">
          <cell r="A195">
            <v>42436</v>
          </cell>
          <cell r="B195">
            <v>69.877693176269531</v>
          </cell>
          <cell r="C195">
            <v>24.667543411254879</v>
          </cell>
          <cell r="D195">
            <v>105.1531295776367</v>
          </cell>
          <cell r="E195">
            <v>33.170356750488281</v>
          </cell>
          <cell r="F195">
            <v>41.030353546142578</v>
          </cell>
        </row>
        <row r="196">
          <cell r="A196">
            <v>42437</v>
          </cell>
          <cell r="B196">
            <v>69.213516235351563</v>
          </cell>
          <cell r="C196">
            <v>24.364578247070309</v>
          </cell>
          <cell r="D196">
            <v>105.35203552246089</v>
          </cell>
          <cell r="E196">
            <v>32.988765716552727</v>
          </cell>
          <cell r="F196">
            <v>40.383720397949219</v>
          </cell>
        </row>
        <row r="197">
          <cell r="A197">
            <v>42438</v>
          </cell>
          <cell r="B197">
            <v>70.422920227050781</v>
          </cell>
          <cell r="C197">
            <v>24.61173248291016</v>
          </cell>
          <cell r="D197">
            <v>106.9234085083008</v>
          </cell>
          <cell r="E197">
            <v>33.274120330810547</v>
          </cell>
          <cell r="F197">
            <v>39.991115570068359</v>
          </cell>
        </row>
        <row r="198">
          <cell r="A198">
            <v>42439</v>
          </cell>
          <cell r="B198">
            <v>70.085861206054688</v>
          </cell>
          <cell r="C198">
            <v>24.91469764709473</v>
          </cell>
          <cell r="D198">
            <v>106.7344436645508</v>
          </cell>
          <cell r="E198">
            <v>32.902301788330078</v>
          </cell>
          <cell r="F198">
            <v>40.044998168945313</v>
          </cell>
        </row>
        <row r="199">
          <cell r="A199">
            <v>42440</v>
          </cell>
          <cell r="B199">
            <v>71.007789611816406</v>
          </cell>
          <cell r="C199">
            <v>25.321304321289059</v>
          </cell>
          <cell r="D199">
            <v>108.8130416870117</v>
          </cell>
          <cell r="E199">
            <v>33.680526733398438</v>
          </cell>
          <cell r="F199">
            <v>40.198963165283203</v>
          </cell>
        </row>
        <row r="200">
          <cell r="A200">
            <v>42443</v>
          </cell>
          <cell r="B200">
            <v>71.592666625976563</v>
          </cell>
          <cell r="C200">
            <v>25.058206558227539</v>
          </cell>
          <cell r="D200">
            <v>109.29042053222661</v>
          </cell>
          <cell r="E200">
            <v>33.464366912841797</v>
          </cell>
          <cell r="F200">
            <v>40.098892211914063</v>
          </cell>
        </row>
        <row r="201">
          <cell r="A201">
            <v>42444</v>
          </cell>
          <cell r="B201">
            <v>71.077178955078125</v>
          </cell>
          <cell r="C201">
            <v>25.233598709106449</v>
          </cell>
          <cell r="D201">
            <v>110.066162109375</v>
          </cell>
          <cell r="E201">
            <v>33.498947143554688</v>
          </cell>
          <cell r="F201">
            <v>39.744785308837891</v>
          </cell>
        </row>
        <row r="202">
          <cell r="A202">
            <v>42445</v>
          </cell>
          <cell r="B202">
            <v>72.098236083984375</v>
          </cell>
          <cell r="C202">
            <v>25.265495300292969</v>
          </cell>
          <cell r="D202">
            <v>111.56793212890619</v>
          </cell>
          <cell r="E202">
            <v>34.778728485107422</v>
          </cell>
          <cell r="F202">
            <v>39.490749359130859</v>
          </cell>
        </row>
        <row r="203">
          <cell r="A203">
            <v>42446</v>
          </cell>
          <cell r="B203">
            <v>72.08831787109375</v>
          </cell>
          <cell r="C203">
            <v>25.496702194213871</v>
          </cell>
          <cell r="D203">
            <v>110.4142532348633</v>
          </cell>
          <cell r="E203">
            <v>35.115970611572273</v>
          </cell>
          <cell r="F203">
            <v>39.552345275878913</v>
          </cell>
        </row>
        <row r="204">
          <cell r="A204">
            <v>42447</v>
          </cell>
          <cell r="B204">
            <v>72.018928527832031</v>
          </cell>
          <cell r="C204">
            <v>26.054788589477539</v>
          </cell>
          <cell r="D204">
            <v>110.841911315918</v>
          </cell>
          <cell r="E204">
            <v>35.868267059326172</v>
          </cell>
          <cell r="F204">
            <v>39.713985443115227</v>
          </cell>
        </row>
        <row r="205">
          <cell r="A205">
            <v>42450</v>
          </cell>
          <cell r="B205">
            <v>71.622406005859375</v>
          </cell>
          <cell r="C205">
            <v>25.783720016479489</v>
          </cell>
          <cell r="D205">
            <v>111.2397384643555</v>
          </cell>
          <cell r="E205">
            <v>35.980693817138672</v>
          </cell>
          <cell r="F205">
            <v>40.191257476806641</v>
          </cell>
        </row>
        <row r="206">
          <cell r="A206">
            <v>42451</v>
          </cell>
          <cell r="B206">
            <v>72.217185974121094</v>
          </cell>
          <cell r="C206">
            <v>25.767776489257809</v>
          </cell>
          <cell r="D206">
            <v>111.6375427246094</v>
          </cell>
          <cell r="E206">
            <v>35.781803131103523</v>
          </cell>
          <cell r="F206">
            <v>40.044998168945313</v>
          </cell>
        </row>
        <row r="207">
          <cell r="A207">
            <v>42452</v>
          </cell>
          <cell r="B207">
            <v>71.156478881835938</v>
          </cell>
          <cell r="C207">
            <v>25.512649536132809</v>
          </cell>
          <cell r="D207">
            <v>111.92596435546881</v>
          </cell>
          <cell r="E207">
            <v>35.237030029296882</v>
          </cell>
          <cell r="F207">
            <v>39.252117156982422</v>
          </cell>
        </row>
        <row r="208">
          <cell r="A208">
            <v>42453</v>
          </cell>
          <cell r="B208">
            <v>71.810752868652344</v>
          </cell>
          <cell r="C208">
            <v>25.416973114013668</v>
          </cell>
          <cell r="D208">
            <v>112.4331817626953</v>
          </cell>
          <cell r="E208">
            <v>35.427265167236328</v>
          </cell>
          <cell r="F208">
            <v>39.15203857421875</v>
          </cell>
        </row>
        <row r="209">
          <cell r="A209">
            <v>42457</v>
          </cell>
          <cell r="B209">
            <v>71.325004577636719</v>
          </cell>
          <cell r="C209">
            <v>25.432918548583981</v>
          </cell>
          <cell r="D209">
            <v>113.069694519043</v>
          </cell>
          <cell r="E209">
            <v>35.124599456787109</v>
          </cell>
          <cell r="F209">
            <v>38.636272430419922</v>
          </cell>
        </row>
        <row r="210">
          <cell r="A210">
            <v>42458</v>
          </cell>
          <cell r="B210">
            <v>71.671981811523438</v>
          </cell>
          <cell r="C210">
            <v>25.815608978271481</v>
          </cell>
          <cell r="D210">
            <v>115.5063171386719</v>
          </cell>
          <cell r="E210">
            <v>35.193790435791023</v>
          </cell>
          <cell r="F210">
            <v>39.021167755126953</v>
          </cell>
        </row>
        <row r="211">
          <cell r="A211">
            <v>42459</v>
          </cell>
          <cell r="B211">
            <v>73.654594421386719</v>
          </cell>
          <cell r="C211">
            <v>26.078706741333011</v>
          </cell>
          <cell r="D211">
            <v>114.0741806030273</v>
          </cell>
          <cell r="E211">
            <v>35.427265167236328</v>
          </cell>
          <cell r="F211">
            <v>39.252117156982422</v>
          </cell>
        </row>
        <row r="212">
          <cell r="A212">
            <v>42460</v>
          </cell>
          <cell r="B212">
            <v>73.188682556152344</v>
          </cell>
          <cell r="C212">
            <v>25.791690826416019</v>
          </cell>
          <cell r="D212">
            <v>113.4774551391602</v>
          </cell>
          <cell r="E212">
            <v>35.375385284423828</v>
          </cell>
          <cell r="F212">
            <v>39.367580413818359</v>
          </cell>
        </row>
        <row r="213">
          <cell r="A213">
            <v>42461</v>
          </cell>
          <cell r="B213">
            <v>75.072181701660156</v>
          </cell>
          <cell r="C213">
            <v>25.871419906616211</v>
          </cell>
          <cell r="D213">
            <v>115.4267578125</v>
          </cell>
          <cell r="E213">
            <v>35.591556549072273</v>
          </cell>
          <cell r="F213">
            <v>39.167434692382813</v>
          </cell>
        </row>
        <row r="214">
          <cell r="A214">
            <v>42464</v>
          </cell>
          <cell r="B214">
            <v>75.032524108886719</v>
          </cell>
          <cell r="C214">
            <v>25.512649536132809</v>
          </cell>
          <cell r="D214">
            <v>111.935920715332</v>
          </cell>
          <cell r="E214">
            <v>35.513740539550781</v>
          </cell>
          <cell r="F214">
            <v>38.990367889404297</v>
          </cell>
        </row>
        <row r="215">
          <cell r="A215">
            <v>42465</v>
          </cell>
          <cell r="B215">
            <v>73.932167053222656</v>
          </cell>
          <cell r="C215">
            <v>25.432918548583981</v>
          </cell>
          <cell r="D215">
            <v>111.6077194213867</v>
          </cell>
          <cell r="E215">
            <v>35.046779632568359</v>
          </cell>
          <cell r="F215">
            <v>38.543895721435547</v>
          </cell>
        </row>
        <row r="216">
          <cell r="A216">
            <v>42466</v>
          </cell>
          <cell r="B216">
            <v>74.923477172851563</v>
          </cell>
          <cell r="C216">
            <v>25.57642936706543</v>
          </cell>
          <cell r="D216">
            <v>113.08958435058589</v>
          </cell>
          <cell r="E216">
            <v>35.237030029296882</v>
          </cell>
          <cell r="F216">
            <v>38.967288970947273</v>
          </cell>
        </row>
        <row r="217">
          <cell r="A217">
            <v>42467</v>
          </cell>
          <cell r="B217">
            <v>74.665740966796875</v>
          </cell>
          <cell r="C217">
            <v>25.153875350952148</v>
          </cell>
          <cell r="D217">
            <v>113.0199661254883</v>
          </cell>
          <cell r="E217">
            <v>34.562538146972663</v>
          </cell>
          <cell r="F217">
            <v>38.513103485107422</v>
          </cell>
        </row>
        <row r="218">
          <cell r="A218">
            <v>42468</v>
          </cell>
          <cell r="B218">
            <v>74.199813842773438</v>
          </cell>
          <cell r="C218">
            <v>25.217658996582031</v>
          </cell>
          <cell r="D218">
            <v>110.02639007568359</v>
          </cell>
          <cell r="E218">
            <v>34.8997802734375</v>
          </cell>
          <cell r="F218">
            <v>38.921096801757813</v>
          </cell>
        </row>
        <row r="219">
          <cell r="A219">
            <v>42471</v>
          </cell>
          <cell r="B219">
            <v>73.51580810546875</v>
          </cell>
          <cell r="C219">
            <v>25.24954795837402</v>
          </cell>
          <cell r="D219">
            <v>108.3953399658203</v>
          </cell>
          <cell r="E219">
            <v>34.925735473632813</v>
          </cell>
          <cell r="F219">
            <v>39.259803771972663</v>
          </cell>
        </row>
        <row r="220">
          <cell r="A220">
            <v>42472</v>
          </cell>
          <cell r="B220">
            <v>73.624855041503906</v>
          </cell>
          <cell r="C220">
            <v>25.401031494140621</v>
          </cell>
          <cell r="D220">
            <v>110.00648498535161</v>
          </cell>
          <cell r="E220">
            <v>35.081943511962891</v>
          </cell>
          <cell r="F220">
            <v>39.121246337890618</v>
          </cell>
        </row>
        <row r="221">
          <cell r="A221">
            <v>42473</v>
          </cell>
          <cell r="B221">
            <v>75.290260314941406</v>
          </cell>
          <cell r="C221">
            <v>25.61629676818848</v>
          </cell>
          <cell r="D221">
            <v>109.9070510864258</v>
          </cell>
          <cell r="E221">
            <v>35.854423522949219</v>
          </cell>
          <cell r="F221">
            <v>39.968025207519531</v>
          </cell>
        </row>
        <row r="222">
          <cell r="A222">
            <v>42474</v>
          </cell>
          <cell r="B222">
            <v>75.488525390625</v>
          </cell>
          <cell r="C222">
            <v>25.353189468383789</v>
          </cell>
          <cell r="D222">
            <v>110.2352294921875</v>
          </cell>
          <cell r="E222">
            <v>35.793663024902337</v>
          </cell>
          <cell r="F222">
            <v>39.891033172607422</v>
          </cell>
        </row>
        <row r="223">
          <cell r="A223">
            <v>42475</v>
          </cell>
          <cell r="B223">
            <v>75.647132873535156</v>
          </cell>
          <cell r="C223">
            <v>25.082126617431641</v>
          </cell>
          <cell r="D223">
            <v>109.0417938232422</v>
          </cell>
          <cell r="E223">
            <v>35.602710723876953</v>
          </cell>
          <cell r="F223">
            <v>39.305992126464837</v>
          </cell>
        </row>
        <row r="224">
          <cell r="A224">
            <v>42478</v>
          </cell>
          <cell r="B224">
            <v>76.598785400390625</v>
          </cell>
          <cell r="C224">
            <v>25.233598709106449</v>
          </cell>
          <cell r="D224">
            <v>109.8473663330078</v>
          </cell>
          <cell r="E224">
            <v>35.793663024902337</v>
          </cell>
          <cell r="F224">
            <v>39.683197021484382</v>
          </cell>
        </row>
        <row r="225">
          <cell r="A225">
            <v>42479</v>
          </cell>
          <cell r="B225">
            <v>75.528175354003906</v>
          </cell>
          <cell r="C225">
            <v>25.193740844726559</v>
          </cell>
          <cell r="D225">
            <v>111.6773300170898</v>
          </cell>
          <cell r="E225">
            <v>35.637435913085938</v>
          </cell>
          <cell r="F225">
            <v>39.898735046386719</v>
          </cell>
        </row>
        <row r="226">
          <cell r="A226">
            <v>42480</v>
          </cell>
          <cell r="B226">
            <v>75.478622436523438</v>
          </cell>
          <cell r="C226">
            <v>25.512649536132809</v>
          </cell>
          <cell r="D226">
            <v>111.80662536621089</v>
          </cell>
          <cell r="E226">
            <v>35.672153472900391</v>
          </cell>
          <cell r="F226">
            <v>40.098892211914063</v>
          </cell>
        </row>
        <row r="227">
          <cell r="A227">
            <v>42481</v>
          </cell>
          <cell r="B227">
            <v>76.479843139648438</v>
          </cell>
          <cell r="C227">
            <v>25.48873138427734</v>
          </cell>
          <cell r="D227">
            <v>112.82106018066411</v>
          </cell>
          <cell r="E227">
            <v>35.576679229736328</v>
          </cell>
          <cell r="F227">
            <v>39.775562286376953</v>
          </cell>
        </row>
        <row r="228">
          <cell r="A228">
            <v>42482</v>
          </cell>
          <cell r="B228">
            <v>75.815666198730469</v>
          </cell>
          <cell r="C228">
            <v>25.22563362121582</v>
          </cell>
          <cell r="D228">
            <v>109.95677185058589</v>
          </cell>
          <cell r="E228">
            <v>35.324981689453118</v>
          </cell>
          <cell r="F228">
            <v>40.522266387939453</v>
          </cell>
        </row>
        <row r="229">
          <cell r="A229">
            <v>42485</v>
          </cell>
          <cell r="B229">
            <v>75.845405578613281</v>
          </cell>
          <cell r="C229">
            <v>25.026311874389648</v>
          </cell>
          <cell r="D229">
            <v>109.4992752075195</v>
          </cell>
          <cell r="E229">
            <v>35.394416809082031</v>
          </cell>
          <cell r="F229">
            <v>40.360633850097663</v>
          </cell>
        </row>
        <row r="230">
          <cell r="A230">
            <v>42486</v>
          </cell>
          <cell r="B230">
            <v>75.548004150390625</v>
          </cell>
          <cell r="C230">
            <v>25.034286499023441</v>
          </cell>
          <cell r="D230">
            <v>108.1665954589844</v>
          </cell>
          <cell r="E230">
            <v>35.281589508056641</v>
          </cell>
          <cell r="F230">
            <v>40.730121612548828</v>
          </cell>
        </row>
        <row r="231">
          <cell r="A231">
            <v>42487</v>
          </cell>
          <cell r="B231">
            <v>75.032524108886719</v>
          </cell>
          <cell r="C231">
            <v>25.313333511352539</v>
          </cell>
          <cell r="D231">
            <v>108.29588317871089</v>
          </cell>
          <cell r="E231">
            <v>35.455165863037109</v>
          </cell>
          <cell r="F231">
            <v>40.722423553466797</v>
          </cell>
        </row>
        <row r="232">
          <cell r="A232">
            <v>42488</v>
          </cell>
          <cell r="B232">
            <v>74.725212097167969</v>
          </cell>
          <cell r="C232">
            <v>24.803079605102539</v>
          </cell>
          <cell r="D232">
            <v>116.0931091308594</v>
          </cell>
          <cell r="E232">
            <v>35.00384521484375</v>
          </cell>
          <cell r="F232">
            <v>40.129688262939453</v>
          </cell>
        </row>
        <row r="233">
          <cell r="A233">
            <v>42489</v>
          </cell>
          <cell r="B233">
            <v>75.141586303710938</v>
          </cell>
          <cell r="C233">
            <v>24.14134407043457</v>
          </cell>
          <cell r="D233">
            <v>116.9384689331055</v>
          </cell>
          <cell r="E233">
            <v>34.595912933349609</v>
          </cell>
          <cell r="F233">
            <v>38.890300750732422</v>
          </cell>
        </row>
        <row r="234">
          <cell r="A234">
            <v>42492</v>
          </cell>
          <cell r="B234">
            <v>76.578964233398438</v>
          </cell>
          <cell r="C234">
            <v>24.404447555541989</v>
          </cell>
          <cell r="D234">
            <v>117.9230575561523</v>
          </cell>
          <cell r="E234">
            <v>34.977802276611328</v>
          </cell>
          <cell r="F234">
            <v>39.344486236572273</v>
          </cell>
        </row>
        <row r="235">
          <cell r="A235">
            <v>42493</v>
          </cell>
          <cell r="B235">
            <v>74.249382019042969</v>
          </cell>
          <cell r="C235">
            <v>24.20512580871582</v>
          </cell>
          <cell r="D235">
            <v>116.78928375244141</v>
          </cell>
          <cell r="E235">
            <v>34.439693450927727</v>
          </cell>
          <cell r="F235">
            <v>39.051956176757813</v>
          </cell>
        </row>
        <row r="236">
          <cell r="A236">
            <v>42494</v>
          </cell>
          <cell r="B236">
            <v>73.3472900390625</v>
          </cell>
          <cell r="C236">
            <v>24.004081726074219</v>
          </cell>
          <cell r="D236">
            <v>117.4158554077148</v>
          </cell>
          <cell r="E236">
            <v>34.1011962890625</v>
          </cell>
          <cell r="F236">
            <v>38.867206573486328</v>
          </cell>
        </row>
        <row r="237">
          <cell r="A237">
            <v>42495</v>
          </cell>
          <cell r="B237">
            <v>73.168846130371094</v>
          </cell>
          <cell r="C237">
            <v>24.04428863525391</v>
          </cell>
          <cell r="D237">
            <v>117.1672058105469</v>
          </cell>
          <cell r="E237">
            <v>34.049110412597663</v>
          </cell>
          <cell r="F237">
            <v>39.359874725341797</v>
          </cell>
        </row>
        <row r="238">
          <cell r="A238">
            <v>42496</v>
          </cell>
          <cell r="B238">
            <v>73.60504150390625</v>
          </cell>
          <cell r="C238">
            <v>24.15687370300293</v>
          </cell>
          <cell r="D238">
            <v>118.8380508422852</v>
          </cell>
          <cell r="E238">
            <v>34.205345153808587</v>
          </cell>
          <cell r="F238">
            <v>39.198219299316413</v>
          </cell>
        </row>
        <row r="239">
          <cell r="A239">
            <v>42499</v>
          </cell>
          <cell r="B239">
            <v>73.971824645996094</v>
          </cell>
          <cell r="C239">
            <v>23.963876724243161</v>
          </cell>
          <cell r="D239">
            <v>118.5894012451172</v>
          </cell>
          <cell r="E239">
            <v>34.161937713623047</v>
          </cell>
          <cell r="F239">
            <v>39.413761138916023</v>
          </cell>
        </row>
        <row r="240">
          <cell r="A240">
            <v>42500</v>
          </cell>
          <cell r="B240">
            <v>75.260520935058594</v>
          </cell>
          <cell r="C240">
            <v>24.237287521362301</v>
          </cell>
          <cell r="D240">
            <v>119.8425369262695</v>
          </cell>
          <cell r="E240">
            <v>34.734786987304688</v>
          </cell>
          <cell r="F240">
            <v>40.145076751708977</v>
          </cell>
        </row>
        <row r="241">
          <cell r="A241">
            <v>42501</v>
          </cell>
          <cell r="B241">
            <v>75.131668090820313</v>
          </cell>
          <cell r="C241">
            <v>24.17296028137207</v>
          </cell>
          <cell r="D241">
            <v>118.8678894042969</v>
          </cell>
          <cell r="E241">
            <v>34.413650512695313</v>
          </cell>
          <cell r="F241">
            <v>40.145076751708977</v>
          </cell>
        </row>
        <row r="242">
          <cell r="A242">
            <v>42502</v>
          </cell>
          <cell r="B242">
            <v>75.23077392578125</v>
          </cell>
          <cell r="C242">
            <v>23.93171310424805</v>
          </cell>
          <cell r="D242">
            <v>119.6237335205078</v>
          </cell>
          <cell r="E242">
            <v>34.561195373535163</v>
          </cell>
          <cell r="F242">
            <v>39.652420043945313</v>
          </cell>
        </row>
        <row r="243">
          <cell r="A243">
            <v>42503</v>
          </cell>
          <cell r="B243">
            <v>75.706619262695313</v>
          </cell>
          <cell r="C243">
            <v>24.052335739135739</v>
          </cell>
          <cell r="D243">
            <v>119.1562957763672</v>
          </cell>
          <cell r="E243">
            <v>34.378929138183587</v>
          </cell>
          <cell r="F243">
            <v>39.506141662597663</v>
          </cell>
        </row>
        <row r="244">
          <cell r="A244">
            <v>42506</v>
          </cell>
          <cell r="B244">
            <v>76.638450622558594</v>
          </cell>
          <cell r="C244">
            <v>24.438325881958011</v>
          </cell>
          <cell r="D244">
            <v>118.0225143432617</v>
          </cell>
          <cell r="E244">
            <v>34.691379547119141</v>
          </cell>
          <cell r="F244">
            <v>39.960323333740227</v>
          </cell>
        </row>
        <row r="245">
          <cell r="A245">
            <v>42507</v>
          </cell>
          <cell r="B245">
            <v>76.1031494140625</v>
          </cell>
          <cell r="C245">
            <v>24.108627319335941</v>
          </cell>
          <cell r="D245">
            <v>116.7097244262695</v>
          </cell>
          <cell r="E245">
            <v>34.370246887207031</v>
          </cell>
          <cell r="F245">
            <v>40.021907806396477</v>
          </cell>
        </row>
        <row r="246">
          <cell r="A246">
            <v>42508</v>
          </cell>
          <cell r="B246">
            <v>77.193595886230469</v>
          </cell>
          <cell r="C246">
            <v>24.116664886474609</v>
          </cell>
          <cell r="D246">
            <v>117.0080871582031</v>
          </cell>
          <cell r="E246">
            <v>34.257423400878913</v>
          </cell>
          <cell r="F246">
            <v>40.637748718261719</v>
          </cell>
        </row>
        <row r="247">
          <cell r="A247">
            <v>42509</v>
          </cell>
          <cell r="B247">
            <v>80.385612487792969</v>
          </cell>
          <cell r="C247">
            <v>23.827175140380859</v>
          </cell>
          <cell r="D247">
            <v>116.1726760864258</v>
          </cell>
          <cell r="E247">
            <v>33.710617065429688</v>
          </cell>
          <cell r="F247">
            <v>40.614654541015618</v>
          </cell>
        </row>
        <row r="248">
          <cell r="A248">
            <v>42510</v>
          </cell>
          <cell r="B248">
            <v>80.316215515136719</v>
          </cell>
          <cell r="C248">
            <v>24.245332717895511</v>
          </cell>
          <cell r="D248">
            <v>116.7097244262695</v>
          </cell>
          <cell r="E248">
            <v>34.205345153808587</v>
          </cell>
          <cell r="F248">
            <v>41.969512939453118</v>
          </cell>
        </row>
        <row r="249">
          <cell r="A249">
            <v>42513</v>
          </cell>
          <cell r="B249">
            <v>81.020057678222656</v>
          </cell>
          <cell r="C249">
            <v>24.309663772583011</v>
          </cell>
          <cell r="D249">
            <v>115.3372421264648</v>
          </cell>
          <cell r="E249">
            <v>34.005718231201172</v>
          </cell>
          <cell r="F249">
            <v>41.707767486572273</v>
          </cell>
        </row>
        <row r="250">
          <cell r="A250">
            <v>42514</v>
          </cell>
          <cell r="B250">
            <v>82.03118896484375</v>
          </cell>
          <cell r="C250">
            <v>24.977117538452148</v>
          </cell>
          <cell r="D250">
            <v>117.0578155517578</v>
          </cell>
          <cell r="E250">
            <v>34.630626678466797</v>
          </cell>
          <cell r="F250">
            <v>42.793182373046882</v>
          </cell>
        </row>
        <row r="251">
          <cell r="A251">
            <v>42515</v>
          </cell>
          <cell r="B251">
            <v>82.844070434570313</v>
          </cell>
          <cell r="C251">
            <v>25.242485046386719</v>
          </cell>
          <cell r="D251">
            <v>117.2467727661133</v>
          </cell>
          <cell r="E251">
            <v>34.83026123046875</v>
          </cell>
          <cell r="F251">
            <v>43.093406677246087</v>
          </cell>
        </row>
        <row r="252">
          <cell r="A252">
            <v>42516</v>
          </cell>
          <cell r="B252">
            <v>82.625991821289063</v>
          </cell>
          <cell r="C252">
            <v>25.322904586791989</v>
          </cell>
          <cell r="D252">
            <v>118.8181610107422</v>
          </cell>
          <cell r="E252">
            <v>34.674034118652337</v>
          </cell>
          <cell r="F252">
            <v>42.908657073974609</v>
          </cell>
        </row>
        <row r="253">
          <cell r="A253">
            <v>42517</v>
          </cell>
          <cell r="B253">
            <v>83.042343139648438</v>
          </cell>
          <cell r="C253">
            <v>25.387235641479489</v>
          </cell>
          <cell r="D253">
            <v>118.72865295410161</v>
          </cell>
          <cell r="E253">
            <v>34.778186798095703</v>
          </cell>
          <cell r="F253">
            <v>42.955291748046882</v>
          </cell>
        </row>
        <row r="254">
          <cell r="A254">
            <v>42521</v>
          </cell>
          <cell r="B254">
            <v>82.98284912109375</v>
          </cell>
          <cell r="C254">
            <v>25.403314590454102</v>
          </cell>
          <cell r="D254">
            <v>118.16175842285161</v>
          </cell>
          <cell r="E254">
            <v>34.891006469726563</v>
          </cell>
          <cell r="F254">
            <v>42.683265686035163</v>
          </cell>
        </row>
        <row r="255">
          <cell r="A255">
            <v>42522</v>
          </cell>
          <cell r="B255">
            <v>82.725112915039063</v>
          </cell>
          <cell r="C255">
            <v>25.459611892700199</v>
          </cell>
          <cell r="D255">
            <v>118.1319198608398</v>
          </cell>
          <cell r="E255">
            <v>34.943092346191413</v>
          </cell>
          <cell r="F255">
            <v>42.582233428955078</v>
          </cell>
        </row>
        <row r="256">
          <cell r="A256">
            <v>42523</v>
          </cell>
          <cell r="B256">
            <v>82.516944885253906</v>
          </cell>
          <cell r="C256">
            <v>25.5400276184082</v>
          </cell>
          <cell r="D256">
            <v>118.2810974121094</v>
          </cell>
          <cell r="E256">
            <v>33.554397583007813</v>
          </cell>
          <cell r="F256">
            <v>42.652183532714837</v>
          </cell>
        </row>
        <row r="257">
          <cell r="A257">
            <v>42524</v>
          </cell>
          <cell r="B257">
            <v>81.83294677734375</v>
          </cell>
          <cell r="C257">
            <v>25.427446365356449</v>
          </cell>
          <cell r="D257">
            <v>117.8236083984375</v>
          </cell>
          <cell r="E257">
            <v>33.936283111572273</v>
          </cell>
          <cell r="F257">
            <v>42.698822021484382</v>
          </cell>
        </row>
        <row r="258">
          <cell r="A258">
            <v>42527</v>
          </cell>
          <cell r="B258">
            <v>82.110511779785156</v>
          </cell>
          <cell r="C258">
            <v>25.4756965637207</v>
          </cell>
          <cell r="D258">
            <v>118.14186859130859</v>
          </cell>
          <cell r="E258">
            <v>34.231376647949219</v>
          </cell>
          <cell r="F258">
            <v>42.659961700439453</v>
          </cell>
        </row>
        <row r="259">
          <cell r="A259">
            <v>42528</v>
          </cell>
          <cell r="B259">
            <v>82.417808532714844</v>
          </cell>
          <cell r="C259">
            <v>25.63652420043945</v>
          </cell>
          <cell r="D259">
            <v>117.1174850463867</v>
          </cell>
          <cell r="E259">
            <v>33.962337493896477</v>
          </cell>
          <cell r="F259">
            <v>42.621097564697273</v>
          </cell>
        </row>
        <row r="260">
          <cell r="A260">
            <v>42529</v>
          </cell>
          <cell r="B260">
            <v>82.625991821289063</v>
          </cell>
          <cell r="C260">
            <v>25.64456748962402</v>
          </cell>
          <cell r="D260">
            <v>117.74404144287109</v>
          </cell>
          <cell r="E260">
            <v>34.092517852783203</v>
          </cell>
          <cell r="F260">
            <v>42.698822021484382</v>
          </cell>
        </row>
        <row r="261">
          <cell r="A261">
            <v>42530</v>
          </cell>
          <cell r="B261">
            <v>82.011383056640625</v>
          </cell>
          <cell r="C261">
            <v>25.684772491455082</v>
          </cell>
          <cell r="D261">
            <v>117.9131164550781</v>
          </cell>
          <cell r="E261">
            <v>33.89288330078125</v>
          </cell>
          <cell r="F261">
            <v>42.729900360107422</v>
          </cell>
        </row>
        <row r="262">
          <cell r="A262">
            <v>42531</v>
          </cell>
          <cell r="B262">
            <v>81.119194030761719</v>
          </cell>
          <cell r="C262">
            <v>25.765188217163089</v>
          </cell>
          <cell r="D262">
            <v>115.98370361328119</v>
          </cell>
          <cell r="E262">
            <v>33.623828887939453</v>
          </cell>
          <cell r="F262">
            <v>41.836132049560547</v>
          </cell>
        </row>
        <row r="263">
          <cell r="A263">
            <v>42534</v>
          </cell>
          <cell r="B263">
            <v>80.782150268554688</v>
          </cell>
          <cell r="C263">
            <v>25.869729995727539</v>
          </cell>
          <cell r="D263">
            <v>113.32826995849609</v>
          </cell>
          <cell r="E263">
            <v>33.519660949707031</v>
          </cell>
          <cell r="F263">
            <v>41.058940887451172</v>
          </cell>
        </row>
        <row r="264">
          <cell r="A264">
            <v>42535</v>
          </cell>
          <cell r="B264">
            <v>80.385612487792969</v>
          </cell>
          <cell r="C264">
            <v>25.84560394287109</v>
          </cell>
          <cell r="D264">
            <v>114.31288146972661</v>
          </cell>
          <cell r="E264">
            <v>33.701934814453118</v>
          </cell>
          <cell r="F264">
            <v>40.957912445068359</v>
          </cell>
        </row>
        <row r="265">
          <cell r="A265">
            <v>42536</v>
          </cell>
          <cell r="B265">
            <v>81.277793884277344</v>
          </cell>
          <cell r="C265">
            <v>25.419404983520511</v>
          </cell>
          <cell r="D265">
            <v>113.974723815918</v>
          </cell>
          <cell r="E265">
            <v>33.363445281982422</v>
          </cell>
          <cell r="F265">
            <v>41.408687591552727</v>
          </cell>
        </row>
        <row r="266">
          <cell r="A266">
            <v>42537</v>
          </cell>
          <cell r="B266">
            <v>80.930839538574219</v>
          </cell>
          <cell r="C266">
            <v>25.483734130859379</v>
          </cell>
          <cell r="D266">
            <v>113.7658767700195</v>
          </cell>
          <cell r="E266">
            <v>33.537025451660163</v>
          </cell>
          <cell r="F266">
            <v>41.517490386962891</v>
          </cell>
        </row>
        <row r="267">
          <cell r="A267">
            <v>42538</v>
          </cell>
          <cell r="B267">
            <v>79.800743103027344</v>
          </cell>
          <cell r="C267">
            <v>25.5400276184082</v>
          </cell>
          <cell r="D267">
            <v>112.40334320068359</v>
          </cell>
          <cell r="E267">
            <v>34.439693450927727</v>
          </cell>
          <cell r="F267">
            <v>41.618522644042969</v>
          </cell>
        </row>
        <row r="268">
          <cell r="A268">
            <v>42541</v>
          </cell>
          <cell r="B268">
            <v>80.514488220214844</v>
          </cell>
          <cell r="C268">
            <v>25.869729995727539</v>
          </cell>
          <cell r="D268">
            <v>112.7514343261719</v>
          </cell>
          <cell r="E268">
            <v>34.483078002929688</v>
          </cell>
          <cell r="F268">
            <v>41.882759094238281</v>
          </cell>
        </row>
        <row r="269">
          <cell r="A269">
            <v>42542</v>
          </cell>
          <cell r="B269">
            <v>80.920928955078125</v>
          </cell>
          <cell r="C269">
            <v>25.990352630615231</v>
          </cell>
          <cell r="D269">
            <v>113.7559280395508</v>
          </cell>
          <cell r="E269">
            <v>34.708747863769531</v>
          </cell>
          <cell r="F269">
            <v>41.874988555908203</v>
          </cell>
        </row>
        <row r="270">
          <cell r="A270">
            <v>42543</v>
          </cell>
          <cell r="B270">
            <v>79.919700622558594</v>
          </cell>
          <cell r="C270">
            <v>25.96622467041016</v>
          </cell>
          <cell r="D270">
            <v>113.2884902954102</v>
          </cell>
          <cell r="E270">
            <v>34.726104736328118</v>
          </cell>
          <cell r="F270">
            <v>41.999355316162109</v>
          </cell>
        </row>
        <row r="271">
          <cell r="A271">
            <v>42544</v>
          </cell>
          <cell r="B271">
            <v>81.565284729003906</v>
          </cell>
          <cell r="C271">
            <v>26.529142379760739</v>
          </cell>
          <cell r="D271">
            <v>114.4521102905273</v>
          </cell>
          <cell r="E271">
            <v>35.437816619873047</v>
          </cell>
          <cell r="F271">
            <v>43.172904968261719</v>
          </cell>
        </row>
        <row r="272">
          <cell r="A272">
            <v>42545</v>
          </cell>
          <cell r="B272">
            <v>77.778465270996094</v>
          </cell>
          <cell r="C272">
            <v>25.371150970458981</v>
          </cell>
          <cell r="D272">
            <v>111.4684753417969</v>
          </cell>
          <cell r="E272">
            <v>34.049110412597663</v>
          </cell>
          <cell r="F272">
            <v>40.507137298583977</v>
          </cell>
        </row>
        <row r="273">
          <cell r="A273">
            <v>42548</v>
          </cell>
          <cell r="B273">
            <v>75.409225463867188</v>
          </cell>
          <cell r="C273">
            <v>24.70369911193848</v>
          </cell>
          <cell r="D273">
            <v>108.3754425048828</v>
          </cell>
          <cell r="E273">
            <v>33.398159027099609</v>
          </cell>
          <cell r="F273">
            <v>39.745498657226563</v>
          </cell>
        </row>
        <row r="274">
          <cell r="A274">
            <v>42549</v>
          </cell>
          <cell r="B274">
            <v>76.876380920410156</v>
          </cell>
          <cell r="C274">
            <v>25.0816535949707</v>
          </cell>
          <cell r="D274">
            <v>112.08509826660161</v>
          </cell>
          <cell r="E274">
            <v>33.962337493896477</v>
          </cell>
          <cell r="F274">
            <v>40.81024169921875</v>
          </cell>
        </row>
        <row r="275">
          <cell r="A275">
            <v>42550</v>
          </cell>
          <cell r="B275">
            <v>78.313766479492188</v>
          </cell>
          <cell r="C275">
            <v>25.676731109619141</v>
          </cell>
          <cell r="D275">
            <v>113.5371398925781</v>
          </cell>
          <cell r="E275">
            <v>35.194789886474609</v>
          </cell>
          <cell r="F275">
            <v>41.618522644042969</v>
          </cell>
        </row>
        <row r="276">
          <cell r="A276">
            <v>42551</v>
          </cell>
          <cell r="B276">
            <v>78.72021484375</v>
          </cell>
          <cell r="C276">
            <v>26.376346588134769</v>
          </cell>
          <cell r="D276">
            <v>113.65647125244141</v>
          </cell>
          <cell r="E276">
            <v>35.524600982666023</v>
          </cell>
          <cell r="F276">
            <v>41.634063720703118</v>
          </cell>
        </row>
        <row r="277">
          <cell r="A277">
            <v>42552</v>
          </cell>
          <cell r="B277">
            <v>79.136566162109375</v>
          </cell>
          <cell r="C277">
            <v>26.33614349365234</v>
          </cell>
          <cell r="D277">
            <v>113.5669708251953</v>
          </cell>
          <cell r="E277">
            <v>35.594284057617188</v>
          </cell>
          <cell r="F277">
            <v>41.191062927246087</v>
          </cell>
        </row>
        <row r="278">
          <cell r="A278">
            <v>42556</v>
          </cell>
          <cell r="B278">
            <v>77.986625671386719</v>
          </cell>
          <cell r="C278">
            <v>26.279848098754879</v>
          </cell>
          <cell r="D278">
            <v>113.576904296875</v>
          </cell>
          <cell r="E278">
            <v>35.193576812744141</v>
          </cell>
          <cell r="F278">
            <v>40.367252349853523</v>
          </cell>
        </row>
        <row r="279">
          <cell r="A279">
            <v>42557</v>
          </cell>
          <cell r="B279">
            <v>77.818122863769531</v>
          </cell>
          <cell r="C279">
            <v>26.513055801391602</v>
          </cell>
          <cell r="D279">
            <v>116.0632705688477</v>
          </cell>
          <cell r="E279">
            <v>35.306816101074219</v>
          </cell>
          <cell r="F279">
            <v>40.701431274414063</v>
          </cell>
        </row>
        <row r="280">
          <cell r="A280">
            <v>42558</v>
          </cell>
          <cell r="B280">
            <v>78.07586669921875</v>
          </cell>
          <cell r="C280">
            <v>26.69801139831543</v>
          </cell>
          <cell r="D280">
            <v>115.217903137207</v>
          </cell>
          <cell r="E280">
            <v>35.306816101074219</v>
          </cell>
          <cell r="F280">
            <v>41.136665344238281</v>
          </cell>
        </row>
        <row r="281">
          <cell r="A281">
            <v>42559</v>
          </cell>
          <cell r="B281">
            <v>80.187347412109375</v>
          </cell>
          <cell r="C281">
            <v>27.341339111328121</v>
          </cell>
          <cell r="D281">
            <v>116.6003112792969</v>
          </cell>
          <cell r="E281">
            <v>35.603000640869141</v>
          </cell>
          <cell r="F281">
            <v>42.115928649902337</v>
          </cell>
        </row>
        <row r="282">
          <cell r="A282">
            <v>42562</v>
          </cell>
          <cell r="B282">
            <v>80.950668334960938</v>
          </cell>
          <cell r="C282">
            <v>27.646915435791019</v>
          </cell>
          <cell r="D282">
            <v>117.2268905639648</v>
          </cell>
          <cell r="E282">
            <v>35.524604797363281</v>
          </cell>
          <cell r="F282">
            <v>42.061534881591797</v>
          </cell>
        </row>
        <row r="283">
          <cell r="A283">
            <v>42563</v>
          </cell>
          <cell r="B283">
            <v>81.21832275390625</v>
          </cell>
          <cell r="C283">
            <v>28.09724235534668</v>
          </cell>
          <cell r="D283">
            <v>117.28656005859381</v>
          </cell>
          <cell r="E283">
            <v>36.082122802734382</v>
          </cell>
          <cell r="F283">
            <v>42.450126647949219</v>
          </cell>
        </row>
        <row r="284">
          <cell r="A284">
            <v>42564</v>
          </cell>
          <cell r="B284">
            <v>80.623542785644531</v>
          </cell>
          <cell r="C284">
            <v>28.15352821350098</v>
          </cell>
          <cell r="D284">
            <v>116.14284515380859</v>
          </cell>
          <cell r="E284">
            <v>36.116966247558587</v>
          </cell>
          <cell r="F284">
            <v>42.613330841064453</v>
          </cell>
        </row>
        <row r="285">
          <cell r="A285">
            <v>42565</v>
          </cell>
          <cell r="B285">
            <v>80.851531982421875</v>
          </cell>
          <cell r="C285">
            <v>28.30632400512695</v>
          </cell>
          <cell r="D285">
            <v>116.65004730224609</v>
          </cell>
          <cell r="E285">
            <v>36.299903869628913</v>
          </cell>
          <cell r="F285">
            <v>42.652183532714837</v>
          </cell>
        </row>
        <row r="286">
          <cell r="A286">
            <v>42566</v>
          </cell>
          <cell r="B286">
            <v>80.692916870117188</v>
          </cell>
          <cell r="C286">
            <v>28.2017822265625</v>
          </cell>
          <cell r="D286">
            <v>116.22239685058589</v>
          </cell>
          <cell r="E286">
            <v>36.387020111083977</v>
          </cell>
          <cell r="F286">
            <v>42.551158905029297</v>
          </cell>
        </row>
        <row r="287">
          <cell r="A287">
            <v>42569</v>
          </cell>
          <cell r="B287">
            <v>80.920928955078125</v>
          </cell>
          <cell r="C287">
            <v>28.18569374084473</v>
          </cell>
          <cell r="D287">
            <v>118.7187042236328</v>
          </cell>
          <cell r="E287">
            <v>36.273777008056641</v>
          </cell>
          <cell r="F287">
            <v>43.017463684082031</v>
          </cell>
        </row>
        <row r="288">
          <cell r="A288">
            <v>42570</v>
          </cell>
          <cell r="B288">
            <v>80.663177490234375</v>
          </cell>
          <cell r="C288">
            <v>28.266119003295898</v>
          </cell>
          <cell r="D288">
            <v>119.9519424438477</v>
          </cell>
          <cell r="E288">
            <v>35.785942077636719</v>
          </cell>
          <cell r="F288">
            <v>42.854251861572273</v>
          </cell>
        </row>
        <row r="289">
          <cell r="A289">
            <v>42571</v>
          </cell>
          <cell r="B289">
            <v>81.426490783691406</v>
          </cell>
          <cell r="C289">
            <v>28.700363159179691</v>
          </cell>
          <cell r="D289">
            <v>121.25478363037109</v>
          </cell>
          <cell r="E289">
            <v>35.93402099609375</v>
          </cell>
          <cell r="F289">
            <v>43.382747650146477</v>
          </cell>
        </row>
        <row r="290">
          <cell r="A290">
            <v>42572</v>
          </cell>
          <cell r="B290">
            <v>80.990310668945313</v>
          </cell>
          <cell r="C290">
            <v>27.558464050292969</v>
          </cell>
          <cell r="D290">
            <v>119.9519424438477</v>
          </cell>
          <cell r="E290">
            <v>35.777229309082031</v>
          </cell>
          <cell r="F290">
            <v>46.576992034912109</v>
          </cell>
        </row>
        <row r="291">
          <cell r="A291">
            <v>42573</v>
          </cell>
          <cell r="B291">
            <v>81.83294677734375</v>
          </cell>
          <cell r="C291">
            <v>27.872077941894531</v>
          </cell>
          <cell r="D291">
            <v>120.3398056030273</v>
          </cell>
          <cell r="E291">
            <v>35.785942077636719</v>
          </cell>
          <cell r="F291">
            <v>47.525157928466797</v>
          </cell>
        </row>
        <row r="292">
          <cell r="A292">
            <v>42576</v>
          </cell>
          <cell r="B292">
            <v>81.476058959960938</v>
          </cell>
          <cell r="C292">
            <v>27.89620208740234</v>
          </cell>
          <cell r="D292">
            <v>120.96636962890619</v>
          </cell>
          <cell r="E292">
            <v>35.855632781982422</v>
          </cell>
          <cell r="F292">
            <v>47.198757171630859</v>
          </cell>
        </row>
        <row r="293">
          <cell r="A293">
            <v>42577</v>
          </cell>
          <cell r="B293">
            <v>81.049797058105469</v>
          </cell>
          <cell r="C293">
            <v>28.21787261962891</v>
          </cell>
          <cell r="D293">
            <v>120.5586013793945</v>
          </cell>
          <cell r="E293">
            <v>35.663982391357422</v>
          </cell>
          <cell r="F293">
            <v>47.680599212646477</v>
          </cell>
        </row>
        <row r="294">
          <cell r="A294">
            <v>42578</v>
          </cell>
          <cell r="B294">
            <v>80.79205322265625</v>
          </cell>
          <cell r="C294">
            <v>28.008790969848629</v>
          </cell>
          <cell r="D294">
            <v>122.6670379638672</v>
          </cell>
          <cell r="E294">
            <v>35.6552734375</v>
          </cell>
          <cell r="F294">
            <v>48.582141876220703</v>
          </cell>
        </row>
        <row r="295">
          <cell r="A295">
            <v>42579</v>
          </cell>
          <cell r="B295">
            <v>81.614845275878906</v>
          </cell>
          <cell r="C295">
            <v>27.960536956787109</v>
          </cell>
          <cell r="D295">
            <v>124.317985534668</v>
          </cell>
          <cell r="E295">
            <v>35.881767272949219</v>
          </cell>
          <cell r="F295">
            <v>48.519973754882813</v>
          </cell>
        </row>
        <row r="296">
          <cell r="A296">
            <v>42580</v>
          </cell>
          <cell r="B296">
            <v>81.089454650878906</v>
          </cell>
          <cell r="C296">
            <v>28.032905578613281</v>
          </cell>
          <cell r="D296">
            <v>123.26377105712891</v>
          </cell>
          <cell r="E296">
            <v>35.751094818115227</v>
          </cell>
          <cell r="F296">
            <v>48.636539459228523</v>
          </cell>
        </row>
        <row r="297">
          <cell r="A297">
            <v>42583</v>
          </cell>
          <cell r="B297">
            <v>80.316215515136719</v>
          </cell>
          <cell r="C297">
            <v>28.02486610412598</v>
          </cell>
          <cell r="D297">
            <v>123.6317520141602</v>
          </cell>
          <cell r="E297">
            <v>35.846920013427727</v>
          </cell>
          <cell r="F297">
            <v>48.069206237792969</v>
          </cell>
        </row>
        <row r="298">
          <cell r="A298">
            <v>42584</v>
          </cell>
          <cell r="B298">
            <v>79.800743103027344</v>
          </cell>
          <cell r="C298">
            <v>27.791660308837891</v>
          </cell>
          <cell r="D298">
            <v>122.41839599609381</v>
          </cell>
          <cell r="E298">
            <v>35.463623046875</v>
          </cell>
          <cell r="F298">
            <v>47.097713470458977</v>
          </cell>
        </row>
        <row r="299">
          <cell r="A299">
            <v>42585</v>
          </cell>
          <cell r="B299">
            <v>79.711524963378906</v>
          </cell>
          <cell r="C299">
            <v>27.751152038574219</v>
          </cell>
          <cell r="D299">
            <v>121.84156799316411</v>
          </cell>
          <cell r="E299">
            <v>35.463623046875</v>
          </cell>
          <cell r="F299">
            <v>47.416358947753913</v>
          </cell>
        </row>
        <row r="300">
          <cell r="A300">
            <v>42586</v>
          </cell>
          <cell r="B300">
            <v>79.860214233398438</v>
          </cell>
          <cell r="C300">
            <v>28.01854133605957</v>
          </cell>
          <cell r="D300">
            <v>123.6814727783203</v>
          </cell>
          <cell r="E300">
            <v>35.629131317138672</v>
          </cell>
          <cell r="F300">
            <v>47.393035888671882</v>
          </cell>
        </row>
        <row r="301">
          <cell r="A301">
            <v>42587</v>
          </cell>
          <cell r="B301">
            <v>80.623542785644531</v>
          </cell>
          <cell r="C301">
            <v>28.342634201049801</v>
          </cell>
          <cell r="D301">
            <v>124.4671630859375</v>
          </cell>
          <cell r="E301">
            <v>35.829483032226563</v>
          </cell>
          <cell r="F301">
            <v>48.185779571533203</v>
          </cell>
        </row>
        <row r="302">
          <cell r="A302">
            <v>42590</v>
          </cell>
          <cell r="B302">
            <v>80.464920043945313</v>
          </cell>
          <cell r="C302">
            <v>28.39124870300293</v>
          </cell>
          <cell r="D302">
            <v>124.57656097412109</v>
          </cell>
          <cell r="E302">
            <v>35.855632781982422</v>
          </cell>
          <cell r="F302">
            <v>47.859363555908203</v>
          </cell>
        </row>
        <row r="303">
          <cell r="A303">
            <v>42591</v>
          </cell>
          <cell r="B303">
            <v>80.474830627441406</v>
          </cell>
          <cell r="C303">
            <v>28.294021606445309</v>
          </cell>
          <cell r="D303">
            <v>124.3776550292969</v>
          </cell>
          <cell r="E303">
            <v>35.803356170654297</v>
          </cell>
          <cell r="F303">
            <v>48.178009033203118</v>
          </cell>
        </row>
        <row r="304">
          <cell r="A304">
            <v>42592</v>
          </cell>
          <cell r="B304">
            <v>79.542999267578125</v>
          </cell>
          <cell r="C304">
            <v>27.978021621704102</v>
          </cell>
          <cell r="D304">
            <v>124.19863128662109</v>
          </cell>
          <cell r="E304">
            <v>35.794639587402337</v>
          </cell>
          <cell r="F304">
            <v>47.960391998291023</v>
          </cell>
        </row>
        <row r="305">
          <cell r="A305">
            <v>42593</v>
          </cell>
          <cell r="B305">
            <v>80.772239685058594</v>
          </cell>
          <cell r="C305">
            <v>28.099565505981449</v>
          </cell>
          <cell r="D305">
            <v>124.21852874755859</v>
          </cell>
          <cell r="E305">
            <v>35.960170745849609</v>
          </cell>
          <cell r="F305">
            <v>47.983695983886719</v>
          </cell>
        </row>
        <row r="306">
          <cell r="A306">
            <v>42594</v>
          </cell>
          <cell r="B306">
            <v>80.920928955078125</v>
          </cell>
          <cell r="C306">
            <v>28.010433197021481</v>
          </cell>
          <cell r="D306">
            <v>124.19863128662109</v>
          </cell>
          <cell r="E306">
            <v>35.794639587402337</v>
          </cell>
          <cell r="F306">
            <v>47.960391998291023</v>
          </cell>
        </row>
        <row r="307">
          <cell r="A307">
            <v>42597</v>
          </cell>
          <cell r="B307">
            <v>78.234466552734375</v>
          </cell>
          <cell r="C307">
            <v>28.28591156005859</v>
          </cell>
          <cell r="D307">
            <v>123.22398376464839</v>
          </cell>
          <cell r="E307">
            <v>36.055992126464837</v>
          </cell>
          <cell r="F307">
            <v>48.519973754882813</v>
          </cell>
        </row>
        <row r="308">
          <cell r="A308">
            <v>42598</v>
          </cell>
          <cell r="B308">
            <v>77.282798767089844</v>
          </cell>
          <cell r="C308">
            <v>28.528993606567379</v>
          </cell>
          <cell r="D308">
            <v>122.6272659301758</v>
          </cell>
          <cell r="E308">
            <v>35.995006561279297</v>
          </cell>
          <cell r="F308">
            <v>48.240177154541023</v>
          </cell>
        </row>
        <row r="309">
          <cell r="A309">
            <v>42599</v>
          </cell>
          <cell r="B309">
            <v>75.657051086425781</v>
          </cell>
          <cell r="C309">
            <v>28.37504959106445</v>
          </cell>
          <cell r="D309">
            <v>123.69142150878911</v>
          </cell>
          <cell r="E309">
            <v>35.899181365966797</v>
          </cell>
          <cell r="F309">
            <v>48.403392791748047</v>
          </cell>
        </row>
        <row r="310">
          <cell r="A310">
            <v>42600</v>
          </cell>
          <cell r="B310">
            <v>76.241928100585938</v>
          </cell>
          <cell r="C310">
            <v>28.334535598754879</v>
          </cell>
          <cell r="D310">
            <v>123.2339401245117</v>
          </cell>
          <cell r="E310">
            <v>35.838211059570313</v>
          </cell>
          <cell r="F310">
            <v>48.994060516357422</v>
          </cell>
        </row>
        <row r="311">
          <cell r="A311">
            <v>42601</v>
          </cell>
          <cell r="B311">
            <v>76.806983947753906</v>
          </cell>
          <cell r="C311">
            <v>28.553312301635739</v>
          </cell>
          <cell r="D311">
            <v>122.8858337402344</v>
          </cell>
          <cell r="E311">
            <v>35.995006561279297</v>
          </cell>
          <cell r="F311">
            <v>48.776447296142578</v>
          </cell>
        </row>
        <row r="312">
          <cell r="A312">
            <v>42604</v>
          </cell>
          <cell r="B312">
            <v>76.578964233398438</v>
          </cell>
          <cell r="C312">
            <v>28.650533676147461</v>
          </cell>
          <cell r="D312">
            <v>123.4726257324219</v>
          </cell>
          <cell r="E312">
            <v>35.907905578613281</v>
          </cell>
          <cell r="F312">
            <v>48.830844879150391</v>
          </cell>
        </row>
        <row r="313">
          <cell r="A313">
            <v>42605</v>
          </cell>
          <cell r="B313">
            <v>77.342277526855469</v>
          </cell>
          <cell r="C313">
            <v>28.682939529418949</v>
          </cell>
          <cell r="D313">
            <v>123.69142150878911</v>
          </cell>
          <cell r="E313">
            <v>36.151809692382813</v>
          </cell>
          <cell r="F313">
            <v>49.032920837402337</v>
          </cell>
        </row>
        <row r="314">
          <cell r="A314">
            <v>42606</v>
          </cell>
          <cell r="B314">
            <v>77.144020080566406</v>
          </cell>
          <cell r="C314">
            <v>28.48038291931152</v>
          </cell>
          <cell r="D314">
            <v>122.8062744140625</v>
          </cell>
          <cell r="E314">
            <v>35.777229309082031</v>
          </cell>
          <cell r="F314">
            <v>48.659862518310547</v>
          </cell>
        </row>
        <row r="315">
          <cell r="A315">
            <v>42607</v>
          </cell>
          <cell r="B315">
            <v>79.463691711425781</v>
          </cell>
          <cell r="C315">
            <v>28.431764602661129</v>
          </cell>
          <cell r="D315">
            <v>123.2140426635742</v>
          </cell>
          <cell r="E315">
            <v>35.803356170654297</v>
          </cell>
          <cell r="F315">
            <v>48.683181762695313</v>
          </cell>
        </row>
        <row r="316">
          <cell r="A316">
            <v>42608</v>
          </cell>
          <cell r="B316">
            <v>79.334815979003906</v>
          </cell>
          <cell r="C316">
            <v>28.569499969482418</v>
          </cell>
          <cell r="D316">
            <v>124.2781982421875</v>
          </cell>
          <cell r="E316">
            <v>35.9427490234375</v>
          </cell>
          <cell r="F316">
            <v>48.939651489257813</v>
          </cell>
        </row>
        <row r="317">
          <cell r="A317">
            <v>42611</v>
          </cell>
          <cell r="B317">
            <v>79.225776672363281</v>
          </cell>
          <cell r="C317">
            <v>28.804473876953121</v>
          </cell>
          <cell r="D317">
            <v>125.8495712280273</v>
          </cell>
          <cell r="E317">
            <v>35.986316680908203</v>
          </cell>
          <cell r="F317">
            <v>49.362903594970703</v>
          </cell>
        </row>
        <row r="318">
          <cell r="A318">
            <v>42612</v>
          </cell>
          <cell r="B318">
            <v>79.136566162109375</v>
          </cell>
          <cell r="C318">
            <v>28.9260139465332</v>
          </cell>
          <cell r="D318">
            <v>125.1534042358398</v>
          </cell>
          <cell r="E318">
            <v>35.986316680908203</v>
          </cell>
          <cell r="F318">
            <v>49.331539154052727</v>
          </cell>
        </row>
        <row r="319">
          <cell r="A319">
            <v>42613</v>
          </cell>
          <cell r="B319">
            <v>78.730117797851563</v>
          </cell>
          <cell r="C319">
            <v>29.07996940612793</v>
          </cell>
          <cell r="D319">
            <v>125.4318771362305</v>
          </cell>
          <cell r="E319">
            <v>35.907905578613281</v>
          </cell>
          <cell r="F319">
            <v>49.433429718017578</v>
          </cell>
        </row>
        <row r="320">
          <cell r="A320">
            <v>42614</v>
          </cell>
          <cell r="B320">
            <v>75.2506103515625</v>
          </cell>
          <cell r="C320">
            <v>29.185304641723629</v>
          </cell>
          <cell r="D320">
            <v>125.48159027099609</v>
          </cell>
          <cell r="E320">
            <v>35.855632781982422</v>
          </cell>
          <cell r="F320">
            <v>49.746955871582031</v>
          </cell>
        </row>
        <row r="321">
          <cell r="A321">
            <v>42615</v>
          </cell>
          <cell r="B321">
            <v>74.447639465332031</v>
          </cell>
          <cell r="C321">
            <v>29.233915328979489</v>
          </cell>
          <cell r="D321">
            <v>125.8197479248047</v>
          </cell>
          <cell r="E321">
            <v>35.93402099609375</v>
          </cell>
          <cell r="F321">
            <v>49.652904510498047</v>
          </cell>
        </row>
        <row r="322">
          <cell r="A322">
            <v>42619</v>
          </cell>
          <cell r="B322">
            <v>74.764869689941406</v>
          </cell>
          <cell r="C322">
            <v>29.630941390991211</v>
          </cell>
          <cell r="D322">
            <v>129.0221862792969</v>
          </cell>
          <cell r="E322">
            <v>35.93402099609375</v>
          </cell>
          <cell r="F322">
            <v>49.449119567871087</v>
          </cell>
        </row>
        <row r="323">
          <cell r="A323">
            <v>42620</v>
          </cell>
          <cell r="B323">
            <v>74.358436584472656</v>
          </cell>
          <cell r="C323">
            <v>29.541807174682621</v>
          </cell>
          <cell r="D323">
            <v>130.33497619628909</v>
          </cell>
          <cell r="E323">
            <v>35.93402099609375</v>
          </cell>
          <cell r="F323">
            <v>48.931812286376953</v>
          </cell>
        </row>
        <row r="324">
          <cell r="A324">
            <v>42621</v>
          </cell>
          <cell r="B324">
            <v>74.22955322265625</v>
          </cell>
          <cell r="C324">
            <v>29.525606155395511</v>
          </cell>
          <cell r="D324">
            <v>129.55921936035159</v>
          </cell>
          <cell r="E324">
            <v>35.472335815429688</v>
          </cell>
          <cell r="F324">
            <v>49.135601043701172</v>
          </cell>
        </row>
        <row r="325">
          <cell r="A325">
            <v>42622</v>
          </cell>
          <cell r="B325">
            <v>73.555458068847656</v>
          </cell>
          <cell r="C325">
            <v>28.7153434753418</v>
          </cell>
          <cell r="D325">
            <v>126.4065246582031</v>
          </cell>
          <cell r="E325">
            <v>34.871257781982422</v>
          </cell>
          <cell r="F325">
            <v>47.434783935546882</v>
          </cell>
        </row>
        <row r="326">
          <cell r="A326">
            <v>42625</v>
          </cell>
          <cell r="B326">
            <v>73.714073181152344</v>
          </cell>
          <cell r="C326">
            <v>29.233915328979489</v>
          </cell>
          <cell r="D326">
            <v>127.9878692626953</v>
          </cell>
          <cell r="E326">
            <v>35.437477111816413</v>
          </cell>
          <cell r="F326">
            <v>48.790729522705078</v>
          </cell>
        </row>
        <row r="327">
          <cell r="A327">
            <v>42626</v>
          </cell>
          <cell r="B327">
            <v>72.425369262695313</v>
          </cell>
          <cell r="C327">
            <v>28.85310173034668</v>
          </cell>
          <cell r="D327">
            <v>126.51593017578119</v>
          </cell>
          <cell r="E327">
            <v>35.001934051513672</v>
          </cell>
          <cell r="F327">
            <v>48.038299560546882</v>
          </cell>
        </row>
        <row r="328">
          <cell r="A328">
            <v>42627</v>
          </cell>
          <cell r="B328">
            <v>73.178764343261719</v>
          </cell>
          <cell r="C328">
            <v>28.861196517944339</v>
          </cell>
          <cell r="D328">
            <v>127.072868347168</v>
          </cell>
          <cell r="E328">
            <v>35.062904357910163</v>
          </cell>
          <cell r="F328">
            <v>48.273433685302727</v>
          </cell>
        </row>
        <row r="329">
          <cell r="A329">
            <v>42628</v>
          </cell>
          <cell r="B329">
            <v>73.3472900390625</v>
          </cell>
          <cell r="C329">
            <v>29.62284088134766</v>
          </cell>
          <cell r="D329">
            <v>127.64971923828119</v>
          </cell>
          <cell r="E329">
            <v>35.594284057617188</v>
          </cell>
          <cell r="F329">
            <v>49.018039703369141</v>
          </cell>
        </row>
        <row r="330">
          <cell r="A330">
            <v>42629</v>
          </cell>
          <cell r="B330">
            <v>72.65338134765625</v>
          </cell>
          <cell r="C330">
            <v>30.522209167480469</v>
          </cell>
          <cell r="D330">
            <v>128.36578369140619</v>
          </cell>
          <cell r="E330">
            <v>33.904308319091797</v>
          </cell>
          <cell r="F330">
            <v>49.3707275390625</v>
          </cell>
        </row>
        <row r="331">
          <cell r="A331">
            <v>42632</v>
          </cell>
          <cell r="B331">
            <v>72.365898132324219</v>
          </cell>
          <cell r="C331">
            <v>30.10898590087891</v>
          </cell>
          <cell r="D331">
            <v>127.9480514526367</v>
          </cell>
          <cell r="E331">
            <v>34.174346923828118</v>
          </cell>
          <cell r="F331">
            <v>49.268848419189453</v>
          </cell>
        </row>
        <row r="332">
          <cell r="A332">
            <v>42633</v>
          </cell>
          <cell r="B332">
            <v>72.276679992675781</v>
          </cell>
          <cell r="C332">
            <v>30.092782974243161</v>
          </cell>
          <cell r="D332">
            <v>127.938117980957</v>
          </cell>
          <cell r="E332">
            <v>34.034965515136719</v>
          </cell>
          <cell r="F332">
            <v>49.143440246582031</v>
          </cell>
        </row>
        <row r="333">
          <cell r="A333">
            <v>42634</v>
          </cell>
          <cell r="B333">
            <v>73.535636901855469</v>
          </cell>
          <cell r="C333">
            <v>30.34395599365234</v>
          </cell>
          <cell r="D333">
            <v>129.23103332519531</v>
          </cell>
          <cell r="E333">
            <v>34.418266296386719</v>
          </cell>
          <cell r="F333">
            <v>49.825328826904297</v>
          </cell>
        </row>
        <row r="334">
          <cell r="A334">
            <v>42635</v>
          </cell>
          <cell r="B334">
            <v>73.94207763671875</v>
          </cell>
          <cell r="C334">
            <v>30.424983978271481</v>
          </cell>
          <cell r="D334">
            <v>129.3702697753906</v>
          </cell>
          <cell r="E334">
            <v>34.418266296386719</v>
          </cell>
          <cell r="F334">
            <v>49.786140441894531</v>
          </cell>
        </row>
        <row r="335">
          <cell r="A335">
            <v>42636</v>
          </cell>
          <cell r="B335">
            <v>69.778556823730469</v>
          </cell>
          <cell r="C335">
            <v>30.133302688598629</v>
          </cell>
          <cell r="D335">
            <v>127.261833190918</v>
          </cell>
          <cell r="E335">
            <v>34.174346923828118</v>
          </cell>
          <cell r="F335">
            <v>49.182624816894531</v>
          </cell>
        </row>
        <row r="336">
          <cell r="A336">
            <v>42639</v>
          </cell>
          <cell r="B336">
            <v>69.580291748046875</v>
          </cell>
          <cell r="C336">
            <v>29.695756912231449</v>
          </cell>
          <cell r="D336">
            <v>126.61537933349609</v>
          </cell>
          <cell r="E336">
            <v>34.0001220703125</v>
          </cell>
          <cell r="F336">
            <v>48.837757110595703</v>
          </cell>
        </row>
        <row r="337">
          <cell r="A337">
            <v>42640</v>
          </cell>
          <cell r="B337">
            <v>69.441513061523438</v>
          </cell>
          <cell r="C337">
            <v>30.125179290771481</v>
          </cell>
          <cell r="D337">
            <v>127.9878692626953</v>
          </cell>
          <cell r="E337">
            <v>34.235336303710938</v>
          </cell>
          <cell r="F337">
            <v>49.621543884277337</v>
          </cell>
        </row>
        <row r="338">
          <cell r="A338">
            <v>42641</v>
          </cell>
          <cell r="B338">
            <v>70.997879028320313</v>
          </cell>
          <cell r="C338">
            <v>30.335857391357418</v>
          </cell>
          <cell r="D338">
            <v>128.52490234375</v>
          </cell>
          <cell r="E338">
            <v>34.357295989990227</v>
          </cell>
          <cell r="F338">
            <v>49.731281280517578</v>
          </cell>
        </row>
        <row r="339">
          <cell r="A339">
            <v>42642</v>
          </cell>
          <cell r="B339">
            <v>70.581520080566406</v>
          </cell>
          <cell r="C339">
            <v>30.23862266540527</v>
          </cell>
          <cell r="D339">
            <v>127.3911209106445</v>
          </cell>
          <cell r="E339">
            <v>34.078525543212891</v>
          </cell>
          <cell r="F339">
            <v>52.866432189941413</v>
          </cell>
        </row>
        <row r="340">
          <cell r="A340">
            <v>42643</v>
          </cell>
          <cell r="B340">
            <v>70.710403442382813</v>
          </cell>
          <cell r="C340">
            <v>30.5870361328125</v>
          </cell>
          <cell r="D340">
            <v>127.5701522827148</v>
          </cell>
          <cell r="E340">
            <v>34.217910766601563</v>
          </cell>
          <cell r="F340">
            <v>53.689399719238281</v>
          </cell>
        </row>
        <row r="341">
          <cell r="A341">
            <v>42646</v>
          </cell>
          <cell r="B341">
            <v>69.907432556152344</v>
          </cell>
          <cell r="C341">
            <v>30.51411056518555</v>
          </cell>
          <cell r="D341">
            <v>128.06742858886719</v>
          </cell>
          <cell r="E341">
            <v>33.965274810791023</v>
          </cell>
          <cell r="F341">
            <v>52.599941253662109</v>
          </cell>
        </row>
        <row r="342">
          <cell r="A342">
            <v>42647</v>
          </cell>
          <cell r="B342">
            <v>71.999099731445313</v>
          </cell>
          <cell r="C342">
            <v>30.416889190673832</v>
          </cell>
          <cell r="D342">
            <v>127.49057769775391</v>
          </cell>
          <cell r="E342">
            <v>33.860752105712891</v>
          </cell>
          <cell r="F342">
            <v>52.262916564941413</v>
          </cell>
        </row>
        <row r="343">
          <cell r="A343">
            <v>42648</v>
          </cell>
          <cell r="B343">
            <v>67.82568359375</v>
          </cell>
          <cell r="C343">
            <v>30.781503677368161</v>
          </cell>
          <cell r="D343">
            <v>127.7690505981445</v>
          </cell>
          <cell r="E343">
            <v>34.104667663574219</v>
          </cell>
          <cell r="F343">
            <v>52.388313293457031</v>
          </cell>
        </row>
        <row r="344">
          <cell r="A344">
            <v>42649</v>
          </cell>
          <cell r="B344">
            <v>70.641014099121094</v>
          </cell>
          <cell r="C344">
            <v>30.846315383911129</v>
          </cell>
          <cell r="D344">
            <v>128.03758239746091</v>
          </cell>
          <cell r="E344">
            <v>33.860752105712891</v>
          </cell>
          <cell r="F344">
            <v>52.93695068359375</v>
          </cell>
        </row>
        <row r="345">
          <cell r="A345">
            <v>42650</v>
          </cell>
          <cell r="B345">
            <v>70.294052124023438</v>
          </cell>
          <cell r="C345">
            <v>30.87061882019043</v>
          </cell>
          <cell r="D345">
            <v>128.28623962402341</v>
          </cell>
          <cell r="E345">
            <v>33.852005004882813</v>
          </cell>
          <cell r="F345">
            <v>53.446434020996087</v>
          </cell>
        </row>
        <row r="346">
          <cell r="A346">
            <v>42653</v>
          </cell>
          <cell r="B346">
            <v>74.447639465332031</v>
          </cell>
          <cell r="C346">
            <v>30.805801391601559</v>
          </cell>
          <cell r="D346">
            <v>129.52940368652341</v>
          </cell>
          <cell r="E346">
            <v>33.773284912109382</v>
          </cell>
          <cell r="F346">
            <v>52.709671020507813</v>
          </cell>
        </row>
        <row r="347">
          <cell r="A347">
            <v>42654</v>
          </cell>
          <cell r="B347">
            <v>71.790924072265625</v>
          </cell>
          <cell r="C347">
            <v>30.198116302490231</v>
          </cell>
          <cell r="D347">
            <v>128.17681884765619</v>
          </cell>
          <cell r="E347">
            <v>33.239849090576172</v>
          </cell>
          <cell r="F347">
            <v>51.800464630126953</v>
          </cell>
        </row>
        <row r="348">
          <cell r="A348">
            <v>42655</v>
          </cell>
          <cell r="B348">
            <v>71.602577209472656</v>
          </cell>
          <cell r="C348">
            <v>30.08467864990234</v>
          </cell>
          <cell r="D348">
            <v>128.34590148925781</v>
          </cell>
          <cell r="E348">
            <v>33.27484130859375</v>
          </cell>
          <cell r="F348">
            <v>51.776962280273438</v>
          </cell>
        </row>
        <row r="349">
          <cell r="A349">
            <v>42656</v>
          </cell>
          <cell r="B349">
            <v>70.0164794921875</v>
          </cell>
          <cell r="C349">
            <v>29.955036163330082</v>
          </cell>
          <cell r="D349">
            <v>127.1225967407227</v>
          </cell>
          <cell r="E349">
            <v>33.257331848144531</v>
          </cell>
          <cell r="F349">
            <v>51.494785308837891</v>
          </cell>
        </row>
        <row r="350">
          <cell r="A350">
            <v>42657</v>
          </cell>
          <cell r="B350">
            <v>73.624855041503906</v>
          </cell>
          <cell r="C350">
            <v>30.34395599365234</v>
          </cell>
          <cell r="D350">
            <v>127.182258605957</v>
          </cell>
          <cell r="E350">
            <v>33.589645385742188</v>
          </cell>
          <cell r="F350">
            <v>51.494785308837891</v>
          </cell>
        </row>
        <row r="351">
          <cell r="A351">
            <v>42660</v>
          </cell>
          <cell r="B351">
            <v>72.197380065917969</v>
          </cell>
          <cell r="C351">
            <v>30.214311599731449</v>
          </cell>
          <cell r="D351">
            <v>126.844123840332</v>
          </cell>
          <cell r="E351">
            <v>33.484710693359382</v>
          </cell>
          <cell r="F351">
            <v>51.095058441162109</v>
          </cell>
        </row>
        <row r="352">
          <cell r="A352">
            <v>42661</v>
          </cell>
          <cell r="B352">
            <v>72.137886047363281</v>
          </cell>
          <cell r="C352">
            <v>30.5870361328125</v>
          </cell>
          <cell r="D352">
            <v>127.86851501464839</v>
          </cell>
          <cell r="E352">
            <v>33.598411560058587</v>
          </cell>
          <cell r="F352">
            <v>51.808315277099609</v>
          </cell>
        </row>
        <row r="353">
          <cell r="A353">
            <v>42662</v>
          </cell>
          <cell r="B353">
            <v>72.187454223632813</v>
          </cell>
          <cell r="C353">
            <v>28.772068023681641</v>
          </cell>
          <cell r="D353">
            <v>129.40008544921881</v>
          </cell>
          <cell r="E353">
            <v>33.537174224853523</v>
          </cell>
          <cell r="F353">
            <v>51.565334320068359</v>
          </cell>
        </row>
        <row r="354">
          <cell r="A354">
            <v>42663</v>
          </cell>
          <cell r="B354">
            <v>71.959442138671875</v>
          </cell>
          <cell r="C354">
            <v>28.707254409790039</v>
          </cell>
          <cell r="D354">
            <v>129.29071044921881</v>
          </cell>
          <cell r="E354">
            <v>33.309810638427727</v>
          </cell>
          <cell r="F354">
            <v>52.780200958251953</v>
          </cell>
        </row>
        <row r="355">
          <cell r="A355">
            <v>42664</v>
          </cell>
          <cell r="B355">
            <v>73.357208251953125</v>
          </cell>
          <cell r="C355">
            <v>28.48038291931152</v>
          </cell>
          <cell r="D355">
            <v>131.34941101074219</v>
          </cell>
          <cell r="E355">
            <v>33.169883728027337</v>
          </cell>
          <cell r="F355">
            <v>53.242649078369141</v>
          </cell>
        </row>
        <row r="356">
          <cell r="A356">
            <v>42667</v>
          </cell>
          <cell r="B356">
            <v>74.407989501953125</v>
          </cell>
          <cell r="C356">
            <v>28.569499969482418</v>
          </cell>
          <cell r="D356">
            <v>132.55281066894531</v>
          </cell>
          <cell r="E356">
            <v>33.46722412109375</v>
          </cell>
          <cell r="F356">
            <v>53.344535827636719</v>
          </cell>
        </row>
        <row r="357">
          <cell r="A357">
            <v>42668</v>
          </cell>
          <cell r="B357">
            <v>74.407989501953125</v>
          </cell>
          <cell r="C357">
            <v>28.439863204956051</v>
          </cell>
          <cell r="D357">
            <v>131.56819152832031</v>
          </cell>
          <cell r="E357">
            <v>33.545936584472663</v>
          </cell>
          <cell r="F357">
            <v>53.070220947265618</v>
          </cell>
        </row>
        <row r="358">
          <cell r="A358">
            <v>42669</v>
          </cell>
          <cell r="B358">
            <v>74.298942565917969</v>
          </cell>
          <cell r="C358">
            <v>28.294021606445309</v>
          </cell>
          <cell r="D358">
            <v>130.32501220703119</v>
          </cell>
          <cell r="E358">
            <v>33.502201080322273</v>
          </cell>
          <cell r="F358">
            <v>53.454257965087891</v>
          </cell>
        </row>
        <row r="359">
          <cell r="A359">
            <v>42670</v>
          </cell>
          <cell r="B359">
            <v>74.090774536132813</v>
          </cell>
          <cell r="C359">
            <v>28.204896926879879</v>
          </cell>
          <cell r="D359">
            <v>128.98237609863281</v>
          </cell>
          <cell r="E359">
            <v>33.423496246337891</v>
          </cell>
          <cell r="F359">
            <v>54.935619354248047</v>
          </cell>
        </row>
        <row r="360">
          <cell r="A360">
            <v>42671</v>
          </cell>
          <cell r="B360">
            <v>74.477386474609375</v>
          </cell>
          <cell r="C360">
            <v>28.14816856384277</v>
          </cell>
          <cell r="D360">
            <v>130.57368469238281</v>
          </cell>
          <cell r="E360">
            <v>33.379772186279297</v>
          </cell>
          <cell r="F360">
            <v>53.611019134521477</v>
          </cell>
        </row>
        <row r="361">
          <cell r="A361">
            <v>42674</v>
          </cell>
          <cell r="B361">
            <v>74.507125854492188</v>
          </cell>
          <cell r="C361">
            <v>28.25351524353027</v>
          </cell>
          <cell r="D361">
            <v>130.2752990722656</v>
          </cell>
          <cell r="E361">
            <v>33.598411560058587</v>
          </cell>
          <cell r="F361">
            <v>53.861835479736328</v>
          </cell>
        </row>
        <row r="362">
          <cell r="A362">
            <v>42675</v>
          </cell>
          <cell r="B362">
            <v>74.794609069824219</v>
          </cell>
          <cell r="C362">
            <v>27.96992111206055</v>
          </cell>
          <cell r="D362">
            <v>128.79344177246091</v>
          </cell>
          <cell r="E362">
            <v>33.633365631103523</v>
          </cell>
          <cell r="F362">
            <v>53.563991546630859</v>
          </cell>
        </row>
        <row r="363">
          <cell r="A363">
            <v>42676</v>
          </cell>
          <cell r="B363">
            <v>74.348526000976563</v>
          </cell>
          <cell r="C363">
            <v>28.03474044799805</v>
          </cell>
          <cell r="D363">
            <v>126.4761505126953</v>
          </cell>
          <cell r="E363">
            <v>33.257331848144531</v>
          </cell>
          <cell r="F363">
            <v>52.584255218505859</v>
          </cell>
        </row>
        <row r="364">
          <cell r="A364">
            <v>42677</v>
          </cell>
          <cell r="B364">
            <v>73.495979309082031</v>
          </cell>
          <cell r="C364">
            <v>27.700014114379879</v>
          </cell>
          <cell r="D364">
            <v>119.3452606201172</v>
          </cell>
          <cell r="E364">
            <v>33.502201080322273</v>
          </cell>
          <cell r="F364">
            <v>52.474529266357422</v>
          </cell>
        </row>
        <row r="365">
          <cell r="A365">
            <v>42678</v>
          </cell>
          <cell r="B365">
            <v>73.723991394042969</v>
          </cell>
          <cell r="C365">
            <v>27.438772201538089</v>
          </cell>
          <cell r="D365">
            <v>120.09117126464839</v>
          </cell>
          <cell r="E365">
            <v>33.475959777832031</v>
          </cell>
          <cell r="F365">
            <v>52.302101135253913</v>
          </cell>
        </row>
        <row r="366">
          <cell r="A366">
            <v>42681</v>
          </cell>
          <cell r="B366">
            <v>75.637229919433594</v>
          </cell>
          <cell r="C366">
            <v>28.320468902587891</v>
          </cell>
          <cell r="D366">
            <v>121.48354339599609</v>
          </cell>
          <cell r="E366">
            <v>34.184314727783203</v>
          </cell>
          <cell r="F366">
            <v>53.658054351806641</v>
          </cell>
        </row>
        <row r="367">
          <cell r="A367">
            <v>42682</v>
          </cell>
          <cell r="B367">
            <v>75.885063171386719</v>
          </cell>
          <cell r="C367">
            <v>28.361288070678711</v>
          </cell>
          <cell r="D367">
            <v>123.5422439575195</v>
          </cell>
          <cell r="E367">
            <v>34.219303131103523</v>
          </cell>
          <cell r="F367">
            <v>53.509136199951172</v>
          </cell>
        </row>
        <row r="368">
          <cell r="A368">
            <v>42683</v>
          </cell>
          <cell r="B368">
            <v>75.240699768066406</v>
          </cell>
          <cell r="C368">
            <v>28.369462966918949</v>
          </cell>
          <cell r="D368">
            <v>122.50791931152339</v>
          </cell>
          <cell r="E368">
            <v>34.586578369140618</v>
          </cell>
          <cell r="F368">
            <v>53.203449249267578</v>
          </cell>
        </row>
        <row r="369">
          <cell r="A369">
            <v>42684</v>
          </cell>
          <cell r="B369">
            <v>72.99041748046875</v>
          </cell>
          <cell r="C369">
            <v>28.165361404418949</v>
          </cell>
          <cell r="D369">
            <v>120.1409149169922</v>
          </cell>
          <cell r="E369">
            <v>34.612819671630859</v>
          </cell>
          <cell r="F369">
            <v>51.972911834716797</v>
          </cell>
        </row>
        <row r="370">
          <cell r="A370">
            <v>42685</v>
          </cell>
          <cell r="B370">
            <v>73.94207763671875</v>
          </cell>
          <cell r="C370">
            <v>28.25516319274902</v>
          </cell>
          <cell r="D370">
            <v>118.37060546875</v>
          </cell>
          <cell r="E370">
            <v>34.499134063720703</v>
          </cell>
          <cell r="F370">
            <v>52.419662475585938</v>
          </cell>
        </row>
        <row r="371">
          <cell r="A371">
            <v>42688</v>
          </cell>
          <cell r="B371">
            <v>72.127975463867188</v>
          </cell>
          <cell r="C371">
            <v>28.149038314819339</v>
          </cell>
          <cell r="D371">
            <v>114.4521102905273</v>
          </cell>
          <cell r="E371">
            <v>34.367950439453118</v>
          </cell>
          <cell r="F371">
            <v>51.675071716308587</v>
          </cell>
        </row>
        <row r="372">
          <cell r="A372">
            <v>42689</v>
          </cell>
          <cell r="B372">
            <v>73.377029418945313</v>
          </cell>
          <cell r="C372">
            <v>28.500078201293949</v>
          </cell>
          <cell r="D372">
            <v>116.56053161621089</v>
          </cell>
          <cell r="E372">
            <v>34.254280090332031</v>
          </cell>
          <cell r="F372">
            <v>52.333454132080078</v>
          </cell>
        </row>
        <row r="373">
          <cell r="A373">
            <v>42690</v>
          </cell>
          <cell r="B373">
            <v>72.673202514648438</v>
          </cell>
          <cell r="C373">
            <v>28.44293212890625</v>
          </cell>
          <cell r="D373">
            <v>115.70522308349609</v>
          </cell>
          <cell r="E373">
            <v>34.717765808105469</v>
          </cell>
          <cell r="F373">
            <v>51.965080261230469</v>
          </cell>
        </row>
        <row r="374">
          <cell r="A374">
            <v>42691</v>
          </cell>
          <cell r="B374">
            <v>74.536872863769531</v>
          </cell>
          <cell r="C374">
            <v>28.589885711669918</v>
          </cell>
          <cell r="D374">
            <v>117.14732360839839</v>
          </cell>
          <cell r="E374">
            <v>35.198738098144531</v>
          </cell>
          <cell r="F374">
            <v>52.255062103271477</v>
          </cell>
        </row>
        <row r="375">
          <cell r="A375">
            <v>42692</v>
          </cell>
          <cell r="B375">
            <v>77.094459533691406</v>
          </cell>
          <cell r="C375">
            <v>28.532732009887699</v>
          </cell>
          <cell r="D375">
            <v>116.3815155029297</v>
          </cell>
          <cell r="E375">
            <v>34.857673645019531</v>
          </cell>
          <cell r="F375">
            <v>52.756690979003913</v>
          </cell>
        </row>
        <row r="376">
          <cell r="A376">
            <v>42695</v>
          </cell>
          <cell r="B376">
            <v>75.488525390625</v>
          </cell>
          <cell r="C376">
            <v>28.55722618103027</v>
          </cell>
          <cell r="D376">
            <v>121.10560607910161</v>
          </cell>
          <cell r="E376">
            <v>34.883922576904297</v>
          </cell>
          <cell r="F376">
            <v>52.592090606689453</v>
          </cell>
        </row>
        <row r="377">
          <cell r="A377">
            <v>42696</v>
          </cell>
          <cell r="B377">
            <v>74.913566589355469</v>
          </cell>
          <cell r="C377">
            <v>28.965419769287109</v>
          </cell>
          <cell r="D377">
            <v>120.8072509765625</v>
          </cell>
          <cell r="E377">
            <v>35.058815002441413</v>
          </cell>
          <cell r="F377">
            <v>53.540485382080078</v>
          </cell>
        </row>
        <row r="378">
          <cell r="A378">
            <v>42697</v>
          </cell>
          <cell r="B378">
            <v>73.307632446289063</v>
          </cell>
          <cell r="C378">
            <v>28.736835479736332</v>
          </cell>
          <cell r="D378">
            <v>120.18068695068359</v>
          </cell>
          <cell r="E378">
            <v>35.067554473876953</v>
          </cell>
          <cell r="F378">
            <v>53.399383544921882</v>
          </cell>
        </row>
        <row r="379">
          <cell r="A379">
            <v>42699</v>
          </cell>
          <cell r="B379">
            <v>73.089553833007813</v>
          </cell>
          <cell r="C379">
            <v>28.932758331298832</v>
          </cell>
          <cell r="D379">
            <v>119.7231979370117</v>
          </cell>
          <cell r="E379">
            <v>35.216217041015618</v>
          </cell>
          <cell r="F379">
            <v>53.524791717529297</v>
          </cell>
        </row>
        <row r="380">
          <cell r="A380">
            <v>42702</v>
          </cell>
          <cell r="B380">
            <v>72.296501159667969</v>
          </cell>
          <cell r="C380">
            <v>28.98991584777832</v>
          </cell>
          <cell r="D380">
            <v>119.75302886962891</v>
          </cell>
          <cell r="E380">
            <v>35.242473602294922</v>
          </cell>
          <cell r="F380">
            <v>53.003448486328118</v>
          </cell>
        </row>
        <row r="381">
          <cell r="A381">
            <v>42703</v>
          </cell>
          <cell r="B381">
            <v>72.296501159667969</v>
          </cell>
          <cell r="C381">
            <v>28.826639175415039</v>
          </cell>
          <cell r="D381">
            <v>120.2105255126953</v>
          </cell>
          <cell r="E381">
            <v>35.461101531982422</v>
          </cell>
          <cell r="F381">
            <v>52.742786407470703</v>
          </cell>
        </row>
        <row r="382">
          <cell r="A382">
            <v>42704</v>
          </cell>
          <cell r="B382">
            <v>71.374580383300781</v>
          </cell>
          <cell r="C382">
            <v>28.32863616943359</v>
          </cell>
          <cell r="D382">
            <v>117.7738800048828</v>
          </cell>
          <cell r="E382">
            <v>35.146266937255859</v>
          </cell>
          <cell r="F382">
            <v>53.817058563232422</v>
          </cell>
        </row>
        <row r="383">
          <cell r="A383">
            <v>42705</v>
          </cell>
          <cell r="B383">
            <v>67.865325927734375</v>
          </cell>
          <cell r="C383">
            <v>27.561239242553711</v>
          </cell>
          <cell r="D383">
            <v>114.4720001220703</v>
          </cell>
          <cell r="E383">
            <v>33.843254089355469</v>
          </cell>
          <cell r="F383">
            <v>50.681106567382813</v>
          </cell>
        </row>
        <row r="384">
          <cell r="A384">
            <v>42706</v>
          </cell>
          <cell r="B384">
            <v>67.815765380859375</v>
          </cell>
          <cell r="C384">
            <v>27.887786865234379</v>
          </cell>
          <cell r="D384">
            <v>114.77036285400391</v>
          </cell>
          <cell r="E384">
            <v>33.668354034423828</v>
          </cell>
          <cell r="F384">
            <v>52.008152008056641</v>
          </cell>
        </row>
        <row r="385">
          <cell r="A385">
            <v>42709</v>
          </cell>
          <cell r="B385">
            <v>70.185005187988281</v>
          </cell>
          <cell r="C385">
            <v>28.075555801391602</v>
          </cell>
          <cell r="D385">
            <v>116.78928375244141</v>
          </cell>
          <cell r="E385">
            <v>34.079383850097663</v>
          </cell>
          <cell r="F385">
            <v>52.418926239013672</v>
          </cell>
        </row>
        <row r="386">
          <cell r="A386">
            <v>42710</v>
          </cell>
          <cell r="B386">
            <v>70.006568908691406</v>
          </cell>
          <cell r="C386">
            <v>28.344980239868161</v>
          </cell>
          <cell r="D386">
            <v>116.66993713378911</v>
          </cell>
          <cell r="E386">
            <v>34.516620635986328</v>
          </cell>
          <cell r="F386">
            <v>53.279930114746087</v>
          </cell>
        </row>
        <row r="387">
          <cell r="A387">
            <v>42711</v>
          </cell>
          <cell r="B387">
            <v>71.156478881835938</v>
          </cell>
          <cell r="C387">
            <v>28.981752395629879</v>
          </cell>
          <cell r="D387">
            <v>117.3064422607422</v>
          </cell>
          <cell r="E387">
            <v>35.259952545166023</v>
          </cell>
          <cell r="F387">
            <v>53.982955932617188</v>
          </cell>
        </row>
        <row r="388">
          <cell r="A388">
            <v>42712</v>
          </cell>
          <cell r="B388">
            <v>71.235794067382813</v>
          </cell>
          <cell r="C388">
            <v>29.145021438598629</v>
          </cell>
          <cell r="D388">
            <v>118.26121520996089</v>
          </cell>
          <cell r="E388">
            <v>35.286182403564453</v>
          </cell>
          <cell r="F388">
            <v>54.148841857910163</v>
          </cell>
        </row>
        <row r="389">
          <cell r="A389">
            <v>42713</v>
          </cell>
          <cell r="B389">
            <v>70.551773071289063</v>
          </cell>
          <cell r="C389">
            <v>29.194009780883789</v>
          </cell>
          <cell r="D389">
            <v>119.0270080566406</v>
          </cell>
          <cell r="E389">
            <v>35.434848785400391</v>
          </cell>
          <cell r="F389">
            <v>54.125137329101563</v>
          </cell>
        </row>
        <row r="390">
          <cell r="A390">
            <v>42716</v>
          </cell>
          <cell r="B390">
            <v>69.768638610839844</v>
          </cell>
          <cell r="C390">
            <v>29.365457534790039</v>
          </cell>
          <cell r="D390">
            <v>117.12741851806641</v>
          </cell>
          <cell r="E390">
            <v>35.426105499267578</v>
          </cell>
          <cell r="F390">
            <v>54.085636138916023</v>
          </cell>
        </row>
        <row r="391">
          <cell r="A391">
            <v>42717</v>
          </cell>
          <cell r="B391">
            <v>70.987960815429688</v>
          </cell>
          <cell r="C391">
            <v>30.043060302734379</v>
          </cell>
          <cell r="D391">
            <v>119.6535720825195</v>
          </cell>
          <cell r="E391">
            <v>35.644744873046882</v>
          </cell>
          <cell r="F391">
            <v>54.772872924804688</v>
          </cell>
        </row>
        <row r="392">
          <cell r="A392">
            <v>42718</v>
          </cell>
          <cell r="B392">
            <v>70.710403442382813</v>
          </cell>
          <cell r="C392">
            <v>29.838949203491211</v>
          </cell>
          <cell r="D392">
            <v>119.5541152954102</v>
          </cell>
          <cell r="E392">
            <v>35.749679565429688</v>
          </cell>
          <cell r="F392">
            <v>53.3668212890625</v>
          </cell>
        </row>
        <row r="393">
          <cell r="A393">
            <v>42719</v>
          </cell>
          <cell r="B393">
            <v>69.619956970214844</v>
          </cell>
          <cell r="C393">
            <v>30.03488731384277</v>
          </cell>
          <cell r="D393">
            <v>119.9121475219727</v>
          </cell>
          <cell r="E393">
            <v>35.732189178466797</v>
          </cell>
          <cell r="F393">
            <v>53.738094329833977</v>
          </cell>
        </row>
        <row r="394">
          <cell r="A394">
            <v>42720</v>
          </cell>
          <cell r="B394">
            <v>69.253158569335938</v>
          </cell>
          <cell r="C394">
            <v>29.643024444580082</v>
          </cell>
          <cell r="D394">
            <v>119.2159729003906</v>
          </cell>
          <cell r="E394">
            <v>34.193050384521477</v>
          </cell>
          <cell r="F394">
            <v>52.497905731201172</v>
          </cell>
        </row>
        <row r="395">
          <cell r="A395">
            <v>42723</v>
          </cell>
          <cell r="B395">
            <v>68.906211853027344</v>
          </cell>
          <cell r="C395">
            <v>30.116537094116211</v>
          </cell>
          <cell r="D395">
            <v>118.5894012451172</v>
          </cell>
          <cell r="E395">
            <v>34.018161773681641</v>
          </cell>
          <cell r="F395">
            <v>52.940258026123047</v>
          </cell>
        </row>
        <row r="396">
          <cell r="A396">
            <v>42724</v>
          </cell>
          <cell r="B396">
            <v>69.253158569335938</v>
          </cell>
          <cell r="C396">
            <v>30.37776947021484</v>
          </cell>
          <cell r="D396">
            <v>118.4402313232422</v>
          </cell>
          <cell r="E396">
            <v>34.105617523193359</v>
          </cell>
          <cell r="F396">
            <v>52.853374481201172</v>
          </cell>
        </row>
        <row r="397">
          <cell r="A397">
            <v>42725</v>
          </cell>
          <cell r="B397">
            <v>69.500991821289063</v>
          </cell>
          <cell r="C397">
            <v>30.190011978149411</v>
          </cell>
          <cell r="D397">
            <v>118.3905029296875</v>
          </cell>
          <cell r="E397">
            <v>33.956939697265618</v>
          </cell>
          <cell r="F397">
            <v>53.050857543945313</v>
          </cell>
        </row>
        <row r="398">
          <cell r="A398">
            <v>42726</v>
          </cell>
          <cell r="B398">
            <v>69.292823791503906</v>
          </cell>
          <cell r="C398">
            <v>30.149175643920898</v>
          </cell>
          <cell r="D398">
            <v>116.7594375610352</v>
          </cell>
          <cell r="E398">
            <v>34.070629119873047</v>
          </cell>
          <cell r="F398">
            <v>52.734905242919922</v>
          </cell>
        </row>
        <row r="399">
          <cell r="A399">
            <v>42727</v>
          </cell>
          <cell r="B399">
            <v>69.263076782226563</v>
          </cell>
          <cell r="C399">
            <v>30.181838989257809</v>
          </cell>
          <cell r="D399">
            <v>116.63014984130859</v>
          </cell>
          <cell r="E399">
            <v>33.913215637207031</v>
          </cell>
          <cell r="F399">
            <v>52.813873291015618</v>
          </cell>
        </row>
        <row r="400">
          <cell r="A400">
            <v>42731</v>
          </cell>
          <cell r="B400">
            <v>69.243247985839844</v>
          </cell>
          <cell r="C400">
            <v>30.26347541809082</v>
          </cell>
          <cell r="D400">
            <v>117.3661193847656</v>
          </cell>
          <cell r="E400">
            <v>33.948192596435547</v>
          </cell>
          <cell r="F400">
            <v>53.1219482421875</v>
          </cell>
        </row>
        <row r="401">
          <cell r="A401">
            <v>42732</v>
          </cell>
          <cell r="B401">
            <v>68.489845275878906</v>
          </cell>
          <cell r="C401">
            <v>29.904270172119141</v>
          </cell>
          <cell r="D401">
            <v>116.2820663452148</v>
          </cell>
          <cell r="E401">
            <v>33.825771331787109</v>
          </cell>
          <cell r="F401">
            <v>51.937076568603523</v>
          </cell>
        </row>
        <row r="402">
          <cell r="A402">
            <v>42733</v>
          </cell>
          <cell r="B402">
            <v>68.549339294433594</v>
          </cell>
          <cell r="C402">
            <v>29.928766250610352</v>
          </cell>
          <cell r="D402">
            <v>115.7151794433594</v>
          </cell>
          <cell r="E402">
            <v>33.834510803222663</v>
          </cell>
          <cell r="F402">
            <v>52.166149139404297</v>
          </cell>
        </row>
        <row r="403">
          <cell r="A403">
            <v>42734</v>
          </cell>
          <cell r="B403">
            <v>67.865325927734375</v>
          </cell>
          <cell r="C403">
            <v>29.610368728637699</v>
          </cell>
          <cell r="D403">
            <v>114.4222717285156</v>
          </cell>
          <cell r="E403">
            <v>33.624626159667969</v>
          </cell>
          <cell r="F403">
            <v>51.502613067626953</v>
          </cell>
        </row>
        <row r="404">
          <cell r="A404">
            <v>42738</v>
          </cell>
          <cell r="B404">
            <v>69.927261352539063</v>
          </cell>
          <cell r="C404">
            <v>29.8797721862793</v>
          </cell>
          <cell r="D404">
            <v>116.22239685058589</v>
          </cell>
          <cell r="E404">
            <v>33.8441162109375</v>
          </cell>
          <cell r="F404">
            <v>51.660594940185547</v>
          </cell>
        </row>
        <row r="405">
          <cell r="A405">
            <v>42739</v>
          </cell>
          <cell r="B405">
            <v>72.167633056640625</v>
          </cell>
          <cell r="C405">
            <v>29.724664688110352</v>
          </cell>
          <cell r="D405">
            <v>118.0424118041992</v>
          </cell>
          <cell r="E405">
            <v>34.010929107666023</v>
          </cell>
          <cell r="F405">
            <v>51.715900421142578</v>
          </cell>
        </row>
        <row r="406">
          <cell r="A406">
            <v>42740</v>
          </cell>
          <cell r="B406">
            <v>72.15771484375</v>
          </cell>
          <cell r="C406">
            <v>29.6756706237793</v>
          </cell>
          <cell r="D406">
            <v>120.01161193847661</v>
          </cell>
          <cell r="E406">
            <v>33.923130035400391</v>
          </cell>
          <cell r="F406">
            <v>51.779083251953118</v>
          </cell>
        </row>
        <row r="407">
          <cell r="A407">
            <v>42741</v>
          </cell>
          <cell r="B407">
            <v>73.158943176269531</v>
          </cell>
          <cell r="C407">
            <v>29.78181076049805</v>
          </cell>
          <cell r="D407">
            <v>122.7366561889648</v>
          </cell>
          <cell r="E407">
            <v>33.756320953369141</v>
          </cell>
          <cell r="F407">
            <v>51.763282775878913</v>
          </cell>
        </row>
        <row r="408">
          <cell r="A408">
            <v>42744</v>
          </cell>
          <cell r="B408">
            <v>73.317543029785156</v>
          </cell>
          <cell r="C408">
            <v>29.887943267822269</v>
          </cell>
          <cell r="D408">
            <v>124.21852874755859</v>
          </cell>
          <cell r="E408">
            <v>34.265514373779297</v>
          </cell>
          <cell r="F408">
            <v>51.858081817626953</v>
          </cell>
        </row>
        <row r="409">
          <cell r="A409">
            <v>42745</v>
          </cell>
          <cell r="B409">
            <v>73.337379455566406</v>
          </cell>
          <cell r="C409">
            <v>29.830783843994141</v>
          </cell>
          <cell r="D409">
            <v>123.67152404785161</v>
          </cell>
          <cell r="E409">
            <v>33.940685272216797</v>
          </cell>
          <cell r="F409">
            <v>51.842277526855469</v>
          </cell>
        </row>
        <row r="410">
          <cell r="A410">
            <v>42746</v>
          </cell>
          <cell r="B410">
            <v>75.111831665039063</v>
          </cell>
          <cell r="C410">
            <v>30.165510177612301</v>
          </cell>
          <cell r="D410">
            <v>125.4020309448242</v>
          </cell>
          <cell r="E410">
            <v>34.335758209228523</v>
          </cell>
          <cell r="F410">
            <v>52.213542938232422</v>
          </cell>
        </row>
        <row r="411">
          <cell r="A411">
            <v>42747</v>
          </cell>
          <cell r="B411">
            <v>74.556694030761719</v>
          </cell>
          <cell r="C411">
            <v>29.96957969665527</v>
          </cell>
          <cell r="D411">
            <v>125.9291458129883</v>
          </cell>
          <cell r="E411">
            <v>34.414764404296882</v>
          </cell>
          <cell r="F411">
            <v>52.229339599609382</v>
          </cell>
        </row>
        <row r="412">
          <cell r="A412">
            <v>42748</v>
          </cell>
          <cell r="B412">
            <v>74.982955932617188</v>
          </cell>
          <cell r="C412">
            <v>30.03488731384277</v>
          </cell>
          <cell r="D412">
            <v>127.6397399902344</v>
          </cell>
          <cell r="E412">
            <v>34.467441558837891</v>
          </cell>
          <cell r="F412">
            <v>52.829666137695313</v>
          </cell>
        </row>
        <row r="413">
          <cell r="A413">
            <v>42752</v>
          </cell>
          <cell r="B413">
            <v>74.36834716796875</v>
          </cell>
          <cell r="C413">
            <v>30.043060302734379</v>
          </cell>
          <cell r="D413">
            <v>127.1723327636719</v>
          </cell>
          <cell r="E413">
            <v>34.326961517333977</v>
          </cell>
          <cell r="F413">
            <v>50.704807281494141</v>
          </cell>
        </row>
        <row r="414">
          <cell r="A414">
            <v>42753</v>
          </cell>
          <cell r="B414">
            <v>75.121749877929688</v>
          </cell>
          <cell r="C414">
            <v>30.010395050048832</v>
          </cell>
          <cell r="D414">
            <v>127.222053527832</v>
          </cell>
          <cell r="E414">
            <v>34.405982971191413</v>
          </cell>
          <cell r="F414">
            <v>51.447322845458977</v>
          </cell>
        </row>
        <row r="415">
          <cell r="A415">
            <v>42754</v>
          </cell>
          <cell r="B415">
            <v>74.913566589355469</v>
          </cell>
          <cell r="C415">
            <v>29.855283737182621</v>
          </cell>
          <cell r="D415">
            <v>126.8540725708008</v>
          </cell>
          <cell r="E415">
            <v>34.423545837402337</v>
          </cell>
          <cell r="F415">
            <v>50.902297973632813</v>
          </cell>
        </row>
        <row r="416">
          <cell r="A416">
            <v>42755</v>
          </cell>
          <cell r="B416">
            <v>75.36956787109375</v>
          </cell>
          <cell r="C416">
            <v>30.157342910766602</v>
          </cell>
          <cell r="D416">
            <v>126.34686279296881</v>
          </cell>
          <cell r="E416">
            <v>35.002983093261719</v>
          </cell>
          <cell r="F416">
            <v>49.670001983642578</v>
          </cell>
        </row>
        <row r="417">
          <cell r="A417">
            <v>42758</v>
          </cell>
          <cell r="B417">
            <v>75.498443603515625</v>
          </cell>
          <cell r="C417">
            <v>30.0185661315918</v>
          </cell>
          <cell r="D417">
            <v>128.2265319824219</v>
          </cell>
          <cell r="E417">
            <v>34.836166381835938</v>
          </cell>
          <cell r="F417">
            <v>43.350662231445313</v>
          </cell>
        </row>
        <row r="418">
          <cell r="A418">
            <v>42759</v>
          </cell>
          <cell r="B418">
            <v>76.440185546875</v>
          </cell>
          <cell r="C418">
            <v>30.712480545043949</v>
          </cell>
          <cell r="D418">
            <v>128.66412353515619</v>
          </cell>
          <cell r="E418">
            <v>35.20489501953125</v>
          </cell>
          <cell r="F418">
            <v>43.445461273193359</v>
          </cell>
        </row>
        <row r="419">
          <cell r="A419">
            <v>42760</v>
          </cell>
          <cell r="B419">
            <v>77.788375854492188</v>
          </cell>
          <cell r="C419">
            <v>30.85944747924805</v>
          </cell>
          <cell r="D419">
            <v>130.76261901855469</v>
          </cell>
          <cell r="E419">
            <v>35.248809814453118</v>
          </cell>
          <cell r="F419">
            <v>44.946304321289063</v>
          </cell>
        </row>
        <row r="420">
          <cell r="A420">
            <v>42761</v>
          </cell>
          <cell r="B420">
            <v>77.27288818359375</v>
          </cell>
          <cell r="C420">
            <v>30.663516998291019</v>
          </cell>
          <cell r="D420">
            <v>132.05552673339841</v>
          </cell>
          <cell r="E420">
            <v>35.231246948242188</v>
          </cell>
          <cell r="F420">
            <v>42.695030212402337</v>
          </cell>
        </row>
        <row r="421">
          <cell r="A421">
            <v>42762</v>
          </cell>
          <cell r="B421">
            <v>77.530632019042969</v>
          </cell>
          <cell r="C421">
            <v>31.00638580322266</v>
          </cell>
          <cell r="D421">
            <v>131.45880126953119</v>
          </cell>
          <cell r="E421">
            <v>35.319034576416023</v>
          </cell>
          <cell r="F421">
            <v>42.845123291015618</v>
          </cell>
        </row>
        <row r="422">
          <cell r="A422">
            <v>42765</v>
          </cell>
          <cell r="B422">
            <v>78.026283264160156</v>
          </cell>
          <cell r="C422">
            <v>30.549215316772461</v>
          </cell>
          <cell r="D422">
            <v>130.2653503417969</v>
          </cell>
          <cell r="E422">
            <v>35.319034576416023</v>
          </cell>
          <cell r="F422">
            <v>42.347480773925781</v>
          </cell>
        </row>
        <row r="423">
          <cell r="A423">
            <v>42766</v>
          </cell>
          <cell r="B423">
            <v>78.412910461425781</v>
          </cell>
          <cell r="C423">
            <v>30.059385299682621</v>
          </cell>
          <cell r="D423">
            <v>129.6089782714844</v>
          </cell>
          <cell r="E423">
            <v>35.213680267333977</v>
          </cell>
          <cell r="F423">
            <v>42.205287933349609</v>
          </cell>
        </row>
        <row r="424">
          <cell r="A424">
            <v>42767</v>
          </cell>
          <cell r="B424">
            <v>77.897422790527344</v>
          </cell>
          <cell r="C424">
            <v>29.814468383789059</v>
          </cell>
          <cell r="D424">
            <v>132.50306701660159</v>
          </cell>
          <cell r="E424">
            <v>34.976650238037109</v>
          </cell>
          <cell r="F424">
            <v>41.984111785888672</v>
          </cell>
        </row>
        <row r="425">
          <cell r="A425">
            <v>42768</v>
          </cell>
          <cell r="B425">
            <v>79.433952331542969</v>
          </cell>
          <cell r="C425">
            <v>29.945083618164059</v>
          </cell>
          <cell r="D425">
            <v>130.12611389160159</v>
          </cell>
          <cell r="E425">
            <v>35.099555969238281</v>
          </cell>
          <cell r="F425">
            <v>41.597049713134773</v>
          </cell>
        </row>
        <row r="426">
          <cell r="A426">
            <v>42769</v>
          </cell>
          <cell r="B426">
            <v>79.513267517089844</v>
          </cell>
          <cell r="C426">
            <v>30.027311325073239</v>
          </cell>
          <cell r="D426">
            <v>130.2653503417969</v>
          </cell>
          <cell r="E426">
            <v>35.494606018066413</v>
          </cell>
          <cell r="F426">
            <v>41.849838256835938</v>
          </cell>
        </row>
        <row r="427">
          <cell r="A427">
            <v>42772</v>
          </cell>
          <cell r="B427">
            <v>79.0572509765625</v>
          </cell>
          <cell r="C427">
            <v>29.82175254821777</v>
          </cell>
          <cell r="D427">
            <v>131.33946228027341</v>
          </cell>
          <cell r="E427">
            <v>35.20489501953125</v>
          </cell>
          <cell r="F427">
            <v>41.770835876464837</v>
          </cell>
        </row>
        <row r="428">
          <cell r="A428">
            <v>42773</v>
          </cell>
          <cell r="B428">
            <v>79.513267517089844</v>
          </cell>
          <cell r="C428">
            <v>29.887517929077148</v>
          </cell>
          <cell r="D428">
            <v>131.12066650390619</v>
          </cell>
          <cell r="E428">
            <v>35.178569793701172</v>
          </cell>
          <cell r="F428">
            <v>42.078899383544922</v>
          </cell>
        </row>
        <row r="429">
          <cell r="A429">
            <v>42774</v>
          </cell>
          <cell r="B429">
            <v>79.999008178710938</v>
          </cell>
          <cell r="C429">
            <v>29.912191390991211</v>
          </cell>
          <cell r="D429">
            <v>133.46775817871091</v>
          </cell>
          <cell r="E429">
            <v>35.134677886962891</v>
          </cell>
          <cell r="F429">
            <v>41.778724670410163</v>
          </cell>
        </row>
        <row r="430">
          <cell r="A430">
            <v>42775</v>
          </cell>
          <cell r="B430">
            <v>80.326133728027344</v>
          </cell>
          <cell r="C430">
            <v>29.155763626098629</v>
          </cell>
          <cell r="D430">
            <v>133.40809631347659</v>
          </cell>
          <cell r="E430">
            <v>35.319034576416023</v>
          </cell>
          <cell r="F430">
            <v>41.770835876464837</v>
          </cell>
        </row>
        <row r="431">
          <cell r="A431">
            <v>42776</v>
          </cell>
          <cell r="B431">
            <v>79.939521789550781</v>
          </cell>
          <cell r="C431">
            <v>29.05709266662598</v>
          </cell>
          <cell r="D431">
            <v>133.4578552246094</v>
          </cell>
          <cell r="E431">
            <v>35.810676574707031</v>
          </cell>
          <cell r="F431">
            <v>42.655548095703118</v>
          </cell>
        </row>
        <row r="432">
          <cell r="A432">
            <v>42779</v>
          </cell>
          <cell r="B432">
            <v>80.207183837890625</v>
          </cell>
          <cell r="C432">
            <v>29.4353141784668</v>
          </cell>
          <cell r="D432">
            <v>133.31861877441409</v>
          </cell>
          <cell r="E432">
            <v>36.074047088623047</v>
          </cell>
          <cell r="F432">
            <v>43.390167236328118</v>
          </cell>
        </row>
        <row r="433">
          <cell r="A433">
            <v>42780</v>
          </cell>
          <cell r="B433">
            <v>80.217086791992188</v>
          </cell>
          <cell r="C433">
            <v>29.54218673706055</v>
          </cell>
          <cell r="D433">
            <v>133.11970520019531</v>
          </cell>
          <cell r="E433">
            <v>36.082832336425781</v>
          </cell>
          <cell r="F433">
            <v>43.824623107910163</v>
          </cell>
        </row>
        <row r="434">
          <cell r="A434">
            <v>42781</v>
          </cell>
          <cell r="B434">
            <v>80.960578918457031</v>
          </cell>
          <cell r="C434">
            <v>29.640869140625</v>
          </cell>
          <cell r="D434">
            <v>132.7119445800781</v>
          </cell>
          <cell r="E434">
            <v>36.354991912841797</v>
          </cell>
          <cell r="F434">
            <v>44.6224365234375</v>
          </cell>
        </row>
        <row r="435">
          <cell r="A435">
            <v>42782</v>
          </cell>
          <cell r="B435">
            <v>80.117965698242188</v>
          </cell>
          <cell r="C435">
            <v>29.9368782043457</v>
          </cell>
          <cell r="D435">
            <v>133.1097412109375</v>
          </cell>
          <cell r="E435">
            <v>36.513023376464837</v>
          </cell>
          <cell r="F435">
            <v>44.930503845214837</v>
          </cell>
        </row>
        <row r="436">
          <cell r="A436">
            <v>42783</v>
          </cell>
          <cell r="B436">
            <v>80.762321472167969</v>
          </cell>
          <cell r="C436">
            <v>29.994419097900391</v>
          </cell>
          <cell r="D436">
            <v>132.80145263671881</v>
          </cell>
          <cell r="E436">
            <v>36.925647735595703</v>
          </cell>
          <cell r="F436">
            <v>44.598735809326172</v>
          </cell>
        </row>
        <row r="437">
          <cell r="A437">
            <v>42787</v>
          </cell>
          <cell r="B437">
            <v>81.466148376464844</v>
          </cell>
          <cell r="C437">
            <v>30.027311325073239</v>
          </cell>
          <cell r="D437">
            <v>132.99040222167969</v>
          </cell>
          <cell r="E437">
            <v>37.110012054443359</v>
          </cell>
          <cell r="F437">
            <v>44.827800750732422</v>
          </cell>
        </row>
        <row r="438">
          <cell r="A438">
            <v>42788</v>
          </cell>
          <cell r="B438">
            <v>81.367027282714844</v>
          </cell>
          <cell r="C438">
            <v>29.65731048583984</v>
          </cell>
          <cell r="D438">
            <v>135.37730407714841</v>
          </cell>
          <cell r="E438">
            <v>37.320701599121087</v>
          </cell>
          <cell r="F438">
            <v>45.104286193847663</v>
          </cell>
        </row>
        <row r="439">
          <cell r="A439">
            <v>42789</v>
          </cell>
          <cell r="B439">
            <v>81.357109069824219</v>
          </cell>
          <cell r="C439">
            <v>29.74775314331055</v>
          </cell>
          <cell r="D439">
            <v>134.6214599609375</v>
          </cell>
          <cell r="E439">
            <v>37.715782165527337</v>
          </cell>
          <cell r="F439">
            <v>45.135883331298828</v>
          </cell>
        </row>
        <row r="440">
          <cell r="A440">
            <v>42790</v>
          </cell>
          <cell r="B440">
            <v>81.069618225097656</v>
          </cell>
          <cell r="C440">
            <v>30.035531997680661</v>
          </cell>
          <cell r="D440">
            <v>134.7010192871094</v>
          </cell>
          <cell r="E440">
            <v>37.900135040283203</v>
          </cell>
          <cell r="F440">
            <v>45.199081420898438</v>
          </cell>
        </row>
        <row r="441">
          <cell r="A441">
            <v>42793</v>
          </cell>
          <cell r="B441">
            <v>80.831703186035156</v>
          </cell>
          <cell r="C441">
            <v>30.01909255981445</v>
          </cell>
          <cell r="D441">
            <v>135.6657409667969</v>
          </cell>
          <cell r="E441">
            <v>37.487525939941413</v>
          </cell>
          <cell r="F441">
            <v>45.230964660644531</v>
          </cell>
        </row>
        <row r="442">
          <cell r="A442">
            <v>42794</v>
          </cell>
          <cell r="B442">
            <v>80.643363952636719</v>
          </cell>
          <cell r="C442">
            <v>29.76420974731445</v>
          </cell>
          <cell r="D442">
            <v>134.80047607421881</v>
          </cell>
          <cell r="E442">
            <v>37.390953063964837</v>
          </cell>
          <cell r="F442">
            <v>45.031635284423828</v>
          </cell>
        </row>
        <row r="443">
          <cell r="A443">
            <v>42795</v>
          </cell>
          <cell r="B443">
            <v>83.081993103027344</v>
          </cell>
          <cell r="C443">
            <v>29.54218673706055</v>
          </cell>
          <cell r="D443">
            <v>136.67021179199219</v>
          </cell>
          <cell r="E443">
            <v>37.680656433105469</v>
          </cell>
          <cell r="F443">
            <v>45.454219818115227</v>
          </cell>
        </row>
        <row r="444">
          <cell r="A444">
            <v>42796</v>
          </cell>
          <cell r="B444">
            <v>81.951896667480469</v>
          </cell>
          <cell r="C444">
            <v>29.525754928588871</v>
          </cell>
          <cell r="D444">
            <v>136.01380920410159</v>
          </cell>
          <cell r="E444">
            <v>37.654327392578118</v>
          </cell>
          <cell r="F444">
            <v>44.943943023681641</v>
          </cell>
        </row>
        <row r="445">
          <cell r="A445">
            <v>42797</v>
          </cell>
          <cell r="B445">
            <v>81.505805969238281</v>
          </cell>
          <cell r="C445">
            <v>29.517532348632809</v>
          </cell>
          <cell r="D445">
            <v>136.42156982421881</v>
          </cell>
          <cell r="E445">
            <v>37.478729248046882</v>
          </cell>
          <cell r="F445">
            <v>44.999748229980469</v>
          </cell>
        </row>
        <row r="446">
          <cell r="A446">
            <v>42800</v>
          </cell>
          <cell r="B446">
            <v>81.783363342285156</v>
          </cell>
          <cell r="C446">
            <v>29.246206283569339</v>
          </cell>
          <cell r="D446">
            <v>136.67021179199219</v>
          </cell>
          <cell r="E446">
            <v>37.373386383056641</v>
          </cell>
          <cell r="F446">
            <v>45.007732391357422</v>
          </cell>
        </row>
        <row r="447">
          <cell r="A447">
            <v>42801</v>
          </cell>
          <cell r="B447">
            <v>82.249290466308594</v>
          </cell>
          <cell r="C447">
            <v>29.4353141784668</v>
          </cell>
          <cell r="D447">
            <v>136.55088806152341</v>
          </cell>
          <cell r="E447">
            <v>37.399711608886719</v>
          </cell>
          <cell r="F447">
            <v>45.230964660644531</v>
          </cell>
        </row>
        <row r="448">
          <cell r="A448">
            <v>42802</v>
          </cell>
          <cell r="B448">
            <v>82.754859924316406</v>
          </cell>
          <cell r="C448">
            <v>29.287313461303711</v>
          </cell>
          <cell r="D448">
            <v>136.96858215332031</v>
          </cell>
          <cell r="E448">
            <v>37.408500671386719</v>
          </cell>
          <cell r="F448">
            <v>46.060165405273438</v>
          </cell>
        </row>
        <row r="449">
          <cell r="A449">
            <v>42803</v>
          </cell>
          <cell r="B449">
            <v>82.556594848632813</v>
          </cell>
          <cell r="C449">
            <v>29.451747894287109</v>
          </cell>
          <cell r="D449">
            <v>137.4857482910156</v>
          </cell>
          <cell r="E449">
            <v>37.259254455566413</v>
          </cell>
          <cell r="F449">
            <v>46.219631195068359</v>
          </cell>
        </row>
        <row r="450">
          <cell r="A450">
            <v>42804</v>
          </cell>
          <cell r="B450">
            <v>82.784591674804688</v>
          </cell>
          <cell r="C450">
            <v>29.525754928588871</v>
          </cell>
          <cell r="D450">
            <v>138.03271484375</v>
          </cell>
          <cell r="E450">
            <v>37.469959259033203</v>
          </cell>
          <cell r="F450">
            <v>46.753814697265618</v>
          </cell>
        </row>
        <row r="451">
          <cell r="A451">
            <v>42807</v>
          </cell>
          <cell r="B451">
            <v>82.88372802734375</v>
          </cell>
          <cell r="C451">
            <v>28.909088134765621</v>
          </cell>
          <cell r="D451">
            <v>138.83833312988281</v>
          </cell>
          <cell r="E451">
            <v>37.382164001464837</v>
          </cell>
          <cell r="F451">
            <v>46.610298156738281</v>
          </cell>
        </row>
        <row r="452">
          <cell r="A452">
            <v>42808</v>
          </cell>
          <cell r="B452">
            <v>82.784591674804688</v>
          </cell>
          <cell r="C452">
            <v>28.925540924072269</v>
          </cell>
          <cell r="D452">
            <v>138.5598449707031</v>
          </cell>
          <cell r="E452">
            <v>37.566535949707031</v>
          </cell>
          <cell r="F452">
            <v>46.4189453125</v>
          </cell>
        </row>
        <row r="453">
          <cell r="A453">
            <v>42809</v>
          </cell>
          <cell r="B453">
            <v>82.754859924316406</v>
          </cell>
          <cell r="C453">
            <v>28.859758377075199</v>
          </cell>
          <cell r="D453">
            <v>138.95765686035159</v>
          </cell>
          <cell r="E453">
            <v>37.794788360595703</v>
          </cell>
          <cell r="F453">
            <v>46.658134460449219</v>
          </cell>
        </row>
        <row r="454">
          <cell r="A454">
            <v>42810</v>
          </cell>
          <cell r="B454">
            <v>82.794509887695313</v>
          </cell>
          <cell r="C454">
            <v>28.892648696899411</v>
          </cell>
          <cell r="D454">
            <v>139.2261962890625</v>
          </cell>
          <cell r="E454">
            <v>40.147636413574219</v>
          </cell>
          <cell r="F454">
            <v>46.522594451904297</v>
          </cell>
        </row>
        <row r="455">
          <cell r="A455">
            <v>42811</v>
          </cell>
          <cell r="B455">
            <v>82.30877685546875</v>
          </cell>
          <cell r="C455">
            <v>28.99953651428223</v>
          </cell>
          <cell r="D455">
            <v>139.07701110839841</v>
          </cell>
          <cell r="E455">
            <v>40.086185455322273</v>
          </cell>
          <cell r="F455">
            <v>45.884761810302727</v>
          </cell>
        </row>
        <row r="456">
          <cell r="A456">
            <v>42814</v>
          </cell>
          <cell r="B456">
            <v>82.179893493652344</v>
          </cell>
          <cell r="C456">
            <v>29.1310920715332</v>
          </cell>
          <cell r="D456">
            <v>139.1764831542969</v>
          </cell>
          <cell r="E456">
            <v>39.708663940429688</v>
          </cell>
          <cell r="F456">
            <v>46.092056274414063</v>
          </cell>
        </row>
        <row r="457">
          <cell r="A457">
            <v>42815</v>
          </cell>
          <cell r="B457">
            <v>80.841629028320313</v>
          </cell>
          <cell r="C457">
            <v>28.810432434082031</v>
          </cell>
          <cell r="D457">
            <v>137.7542724609375</v>
          </cell>
          <cell r="E457">
            <v>39.366279602050781</v>
          </cell>
          <cell r="F457">
            <v>45.286769866943359</v>
          </cell>
        </row>
        <row r="458">
          <cell r="A458">
            <v>42816</v>
          </cell>
          <cell r="B458">
            <v>81.168746948242188</v>
          </cell>
          <cell r="C458">
            <v>29.081758499145511</v>
          </cell>
          <cell r="D458">
            <v>138.8283996582031</v>
          </cell>
          <cell r="E458">
            <v>39.322383880615227</v>
          </cell>
          <cell r="F458">
            <v>45.478130340576172</v>
          </cell>
        </row>
        <row r="459">
          <cell r="A459">
            <v>42817</v>
          </cell>
          <cell r="B459">
            <v>80.811874389648438</v>
          </cell>
          <cell r="C459">
            <v>28.99953651428223</v>
          </cell>
          <cell r="D459">
            <v>138.7687072753906</v>
          </cell>
          <cell r="E459">
            <v>39.462856292724609</v>
          </cell>
          <cell r="F459">
            <v>45.294761657714837</v>
          </cell>
        </row>
        <row r="460">
          <cell r="A460">
            <v>42818</v>
          </cell>
          <cell r="B460">
            <v>80.901107788085938</v>
          </cell>
          <cell r="C460">
            <v>28.909088134765621</v>
          </cell>
          <cell r="D460">
            <v>139.57427978515619</v>
          </cell>
          <cell r="E460">
            <v>39.199474334716797</v>
          </cell>
          <cell r="F460">
            <v>45.382453918457031</v>
          </cell>
        </row>
        <row r="461">
          <cell r="A461">
            <v>42821</v>
          </cell>
          <cell r="B461">
            <v>80.901107788085938</v>
          </cell>
          <cell r="C461">
            <v>29.098207473754879</v>
          </cell>
          <cell r="D461">
            <v>139.5544128417969</v>
          </cell>
          <cell r="E461">
            <v>39.366279602050781</v>
          </cell>
          <cell r="F461">
            <v>45.175163269042969</v>
          </cell>
        </row>
        <row r="462">
          <cell r="A462">
            <v>42822</v>
          </cell>
          <cell r="B462">
            <v>81.426490783691406</v>
          </cell>
          <cell r="C462">
            <v>29.2708625793457</v>
          </cell>
          <cell r="D462">
            <v>140.98652648925781</v>
          </cell>
          <cell r="E462">
            <v>39.234596252441413</v>
          </cell>
          <cell r="F462">
            <v>45.749225616455078</v>
          </cell>
        </row>
        <row r="463">
          <cell r="A463">
            <v>42823</v>
          </cell>
          <cell r="B463">
            <v>81.664413452148438</v>
          </cell>
          <cell r="C463">
            <v>29.246206283569339</v>
          </cell>
          <cell r="D463">
            <v>141.8716735839844</v>
          </cell>
          <cell r="E463">
            <v>39.085346221923828</v>
          </cell>
          <cell r="F463">
            <v>45.733272552490227</v>
          </cell>
        </row>
        <row r="464">
          <cell r="A464">
            <v>42824</v>
          </cell>
          <cell r="B464">
            <v>81.842849731445313</v>
          </cell>
          <cell r="C464">
            <v>29.39420127868652</v>
          </cell>
          <cell r="D464">
            <v>141.63298034667969</v>
          </cell>
          <cell r="E464">
            <v>39.225818634033203</v>
          </cell>
          <cell r="F464">
            <v>45.605709075927727</v>
          </cell>
        </row>
        <row r="465">
          <cell r="A465">
            <v>42825</v>
          </cell>
          <cell r="B465">
            <v>81.773445129394531</v>
          </cell>
          <cell r="C465">
            <v>29.65731048583984</v>
          </cell>
          <cell r="D465">
            <v>141.27494812011719</v>
          </cell>
          <cell r="E465">
            <v>39.164363861083977</v>
          </cell>
          <cell r="F465">
            <v>45.717327117919922</v>
          </cell>
        </row>
        <row r="466">
          <cell r="A466">
            <v>42828</v>
          </cell>
          <cell r="B466">
            <v>81.595016479492188</v>
          </cell>
          <cell r="C466">
            <v>29.731319427490231</v>
          </cell>
          <cell r="D466">
            <v>141.50370788574219</v>
          </cell>
          <cell r="E466">
            <v>39.164363861083977</v>
          </cell>
          <cell r="F466">
            <v>45.047584533691413</v>
          </cell>
        </row>
        <row r="467">
          <cell r="A467">
            <v>42829</v>
          </cell>
          <cell r="B467">
            <v>82.249290466308594</v>
          </cell>
          <cell r="C467">
            <v>29.829977035522461</v>
          </cell>
          <cell r="D467">
            <v>140.9566955566406</v>
          </cell>
          <cell r="E467">
            <v>39.146804809570313</v>
          </cell>
          <cell r="F467">
            <v>45.191108703613281</v>
          </cell>
        </row>
        <row r="468">
          <cell r="A468">
            <v>42830</v>
          </cell>
          <cell r="B468">
            <v>84.598701477050781</v>
          </cell>
          <cell r="C468">
            <v>29.780649185180661</v>
          </cell>
          <cell r="D468">
            <v>141.07606506347659</v>
          </cell>
          <cell r="E468">
            <v>39.059005737304688</v>
          </cell>
          <cell r="F468">
            <v>45.023666381835938</v>
          </cell>
        </row>
        <row r="469">
          <cell r="A469">
            <v>42831</v>
          </cell>
          <cell r="B469">
            <v>84.26165771484375</v>
          </cell>
          <cell r="C469">
            <v>29.62441253662109</v>
          </cell>
          <cell r="D469">
            <v>140.39976501464841</v>
          </cell>
          <cell r="E469">
            <v>38.786842346191413</v>
          </cell>
          <cell r="F469">
            <v>45.071502685546882</v>
          </cell>
        </row>
        <row r="470">
          <cell r="A470">
            <v>42832</v>
          </cell>
          <cell r="B470">
            <v>83.647041320800781</v>
          </cell>
          <cell r="C470">
            <v>29.62441253662109</v>
          </cell>
          <cell r="D470">
            <v>140.01188659667969</v>
          </cell>
          <cell r="E470">
            <v>38.883426666259773</v>
          </cell>
          <cell r="F470">
            <v>44.904067993164063</v>
          </cell>
        </row>
        <row r="471">
          <cell r="A471">
            <v>42835</v>
          </cell>
          <cell r="B471">
            <v>83.508247375488281</v>
          </cell>
          <cell r="C471">
            <v>29.4353141784668</v>
          </cell>
          <cell r="D471">
            <v>140.27046203613281</v>
          </cell>
          <cell r="E471">
            <v>38.795253753662109</v>
          </cell>
          <cell r="F471">
            <v>45.06353759765625</v>
          </cell>
        </row>
        <row r="472">
          <cell r="A472">
            <v>42836</v>
          </cell>
          <cell r="B472">
            <v>83.131553649902344</v>
          </cell>
          <cell r="C472">
            <v>29.38597297668457</v>
          </cell>
          <cell r="D472">
            <v>139.15657043457031</v>
          </cell>
          <cell r="E472">
            <v>38.945137023925781</v>
          </cell>
          <cell r="F472">
            <v>44.130691528320313</v>
          </cell>
        </row>
        <row r="473">
          <cell r="A473">
            <v>42837</v>
          </cell>
          <cell r="B473">
            <v>82.645820617675781</v>
          </cell>
          <cell r="C473">
            <v>29.2955322265625</v>
          </cell>
          <cell r="D473">
            <v>138.81843566894531</v>
          </cell>
          <cell r="E473">
            <v>38.953956604003913</v>
          </cell>
          <cell r="F473">
            <v>42.567974090576172</v>
          </cell>
        </row>
        <row r="474">
          <cell r="A474">
            <v>42838</v>
          </cell>
          <cell r="B474">
            <v>82.407882690429688</v>
          </cell>
          <cell r="C474">
            <v>28.983095169067379</v>
          </cell>
          <cell r="D474">
            <v>138.6294860839844</v>
          </cell>
          <cell r="E474">
            <v>38.795253753662109</v>
          </cell>
          <cell r="F474">
            <v>42.089599609375</v>
          </cell>
        </row>
        <row r="475">
          <cell r="A475">
            <v>42842</v>
          </cell>
          <cell r="B475">
            <v>83.468589782714844</v>
          </cell>
          <cell r="C475">
            <v>29.17220306396484</v>
          </cell>
          <cell r="D475">
            <v>140.64839172363281</v>
          </cell>
          <cell r="E475">
            <v>39.050937652587891</v>
          </cell>
          <cell r="F475">
            <v>42.169319152832031</v>
          </cell>
        </row>
        <row r="476">
          <cell r="A476">
            <v>42843</v>
          </cell>
          <cell r="B476">
            <v>82.98284912109375</v>
          </cell>
          <cell r="C476">
            <v>29.410646438598629</v>
          </cell>
          <cell r="D476">
            <v>140.19090270996091</v>
          </cell>
          <cell r="E476">
            <v>39.253742218017578</v>
          </cell>
          <cell r="F476">
            <v>41.993919372558587</v>
          </cell>
        </row>
        <row r="477">
          <cell r="A477">
            <v>42844</v>
          </cell>
          <cell r="B477">
            <v>82.774681091308594</v>
          </cell>
          <cell r="C477">
            <v>29.525754928588871</v>
          </cell>
          <cell r="D477">
            <v>141.4937744140625</v>
          </cell>
          <cell r="E477">
            <v>38.962772369384773</v>
          </cell>
          <cell r="F477">
            <v>41.946090698242188</v>
          </cell>
        </row>
        <row r="478">
          <cell r="A478">
            <v>42845</v>
          </cell>
          <cell r="B478">
            <v>83.319908142089844</v>
          </cell>
          <cell r="C478">
            <v>29.74775314331055</v>
          </cell>
          <cell r="D478">
            <v>143.0154113769531</v>
          </cell>
          <cell r="E478">
            <v>39.262550354003913</v>
          </cell>
          <cell r="F478">
            <v>41.985950469970703</v>
          </cell>
        </row>
        <row r="479">
          <cell r="A479">
            <v>42846</v>
          </cell>
          <cell r="B479">
            <v>83.062171936035156</v>
          </cell>
          <cell r="C479">
            <v>29.86286544799805</v>
          </cell>
          <cell r="D479">
            <v>142.89605712890619</v>
          </cell>
          <cell r="E479">
            <v>39.174388885498047</v>
          </cell>
          <cell r="F479">
            <v>41.858375549316413</v>
          </cell>
        </row>
        <row r="480">
          <cell r="A480">
            <v>42849</v>
          </cell>
          <cell r="B480">
            <v>83.438858032226563</v>
          </cell>
          <cell r="C480">
            <v>30.216415405273441</v>
          </cell>
          <cell r="D480">
            <v>144.67628479003909</v>
          </cell>
          <cell r="E480">
            <v>39.535888671875</v>
          </cell>
          <cell r="F480">
            <v>42.105545043945313</v>
          </cell>
        </row>
        <row r="481">
          <cell r="A481">
            <v>42850</v>
          </cell>
          <cell r="B481">
            <v>84.013824462890625</v>
          </cell>
          <cell r="C481">
            <v>30.315084457397461</v>
          </cell>
          <cell r="D481">
            <v>145.69073486328119</v>
          </cell>
          <cell r="E481">
            <v>39.430084228515618</v>
          </cell>
          <cell r="F481">
            <v>42.257022857666023</v>
          </cell>
        </row>
        <row r="482">
          <cell r="A482">
            <v>42851</v>
          </cell>
          <cell r="B482">
            <v>84.212074279785156</v>
          </cell>
          <cell r="C482">
            <v>30.364408493041989</v>
          </cell>
          <cell r="D482">
            <v>145.7603454589844</v>
          </cell>
          <cell r="E482">
            <v>39.403633117675781</v>
          </cell>
          <cell r="F482">
            <v>42.288917541503913</v>
          </cell>
        </row>
        <row r="483">
          <cell r="A483">
            <v>42852</v>
          </cell>
          <cell r="B483">
            <v>85.104270935058594</v>
          </cell>
          <cell r="C483">
            <v>30.775514602661129</v>
          </cell>
          <cell r="D483">
            <v>146.8941345214844</v>
          </cell>
          <cell r="E483">
            <v>39.474163055419922</v>
          </cell>
          <cell r="F483">
            <v>42.424461364746087</v>
          </cell>
        </row>
        <row r="484">
          <cell r="A484">
            <v>42853</v>
          </cell>
          <cell r="B484">
            <v>85.371932983398438</v>
          </cell>
          <cell r="C484">
            <v>29.723081588745121</v>
          </cell>
          <cell r="D484">
            <v>149.4302062988281</v>
          </cell>
          <cell r="E484">
            <v>39.641685485839837</v>
          </cell>
          <cell r="F484">
            <v>42.847019195556641</v>
          </cell>
        </row>
        <row r="485">
          <cell r="A485">
            <v>42856</v>
          </cell>
          <cell r="B485">
            <v>85.907234191894531</v>
          </cell>
          <cell r="C485">
            <v>29.85463905334473</v>
          </cell>
          <cell r="D485">
            <v>151.62815856933591</v>
          </cell>
          <cell r="E485">
            <v>39.721038818359382</v>
          </cell>
          <cell r="F485">
            <v>42.735408782958977</v>
          </cell>
        </row>
        <row r="486">
          <cell r="A486">
            <v>42857</v>
          </cell>
          <cell r="B486">
            <v>86.33349609375</v>
          </cell>
          <cell r="C486">
            <v>30.39731407165527</v>
          </cell>
          <cell r="D486">
            <v>151.9464111328125</v>
          </cell>
          <cell r="E486">
            <v>39.791587829589837</v>
          </cell>
          <cell r="F486">
            <v>42.488254547119141</v>
          </cell>
        </row>
        <row r="487">
          <cell r="A487">
            <v>42858</v>
          </cell>
          <cell r="B487">
            <v>85.798194885253906</v>
          </cell>
          <cell r="C487">
            <v>30.631721496582031</v>
          </cell>
          <cell r="D487">
            <v>150.9717712402344</v>
          </cell>
          <cell r="E487">
            <v>39.579967498779297</v>
          </cell>
          <cell r="F487">
            <v>43.445014953613281</v>
          </cell>
        </row>
        <row r="488">
          <cell r="A488">
            <v>42859</v>
          </cell>
          <cell r="B488">
            <v>85.768447875976563</v>
          </cell>
          <cell r="C488">
            <v>30.524038314819339</v>
          </cell>
          <cell r="D488">
            <v>150.0269470214844</v>
          </cell>
          <cell r="E488">
            <v>40.091365814208977</v>
          </cell>
          <cell r="F488">
            <v>43.779876708984382</v>
          </cell>
        </row>
        <row r="489">
          <cell r="A489">
            <v>42860</v>
          </cell>
          <cell r="B489">
            <v>86.21453857421875</v>
          </cell>
          <cell r="C489">
            <v>30.49918365478516</v>
          </cell>
          <cell r="D489">
            <v>149.42027282714841</v>
          </cell>
          <cell r="E489">
            <v>40.188350677490227</v>
          </cell>
          <cell r="F489">
            <v>43.795833587646477</v>
          </cell>
        </row>
        <row r="490">
          <cell r="A490">
            <v>42863</v>
          </cell>
          <cell r="B490">
            <v>86.105506896972656</v>
          </cell>
          <cell r="C490">
            <v>30.267251968383789</v>
          </cell>
          <cell r="D490">
            <v>150.23579406738281</v>
          </cell>
          <cell r="E490">
            <v>40.170726776123047</v>
          </cell>
          <cell r="F490">
            <v>43.548667907714837</v>
          </cell>
        </row>
        <row r="491">
          <cell r="A491">
            <v>42864</v>
          </cell>
          <cell r="B491">
            <v>86.373153686523438</v>
          </cell>
          <cell r="C491">
            <v>30.126430511474609</v>
          </cell>
          <cell r="D491">
            <v>149.6589660644531</v>
          </cell>
          <cell r="E491">
            <v>40.100181579589837</v>
          </cell>
          <cell r="F491">
            <v>43.971225738525391</v>
          </cell>
        </row>
        <row r="492">
          <cell r="A492">
            <v>42865</v>
          </cell>
          <cell r="B492">
            <v>86.551582336425781</v>
          </cell>
          <cell r="C492">
            <v>29.8282470703125</v>
          </cell>
          <cell r="D492">
            <v>149.46998596191409</v>
          </cell>
          <cell r="E492">
            <v>40.144268035888672</v>
          </cell>
          <cell r="F492">
            <v>44.11474609375</v>
          </cell>
        </row>
        <row r="493">
          <cell r="A493">
            <v>42866</v>
          </cell>
          <cell r="B493">
            <v>86.948112487792969</v>
          </cell>
          <cell r="C493">
            <v>29.56317138671875</v>
          </cell>
          <cell r="D493">
            <v>149.2213439941406</v>
          </cell>
          <cell r="E493">
            <v>39.818035125732422</v>
          </cell>
          <cell r="F493">
            <v>43.59649658203125</v>
          </cell>
        </row>
        <row r="494">
          <cell r="A494">
            <v>42867</v>
          </cell>
          <cell r="B494">
            <v>88.266555786132813</v>
          </cell>
          <cell r="C494">
            <v>29.430635452270511</v>
          </cell>
          <cell r="D494">
            <v>149.50978088378909</v>
          </cell>
          <cell r="E494">
            <v>39.747501373291023</v>
          </cell>
          <cell r="F494">
            <v>44.106761932373047</v>
          </cell>
        </row>
        <row r="495">
          <cell r="A495">
            <v>42870</v>
          </cell>
          <cell r="B495">
            <v>89.019966125488281</v>
          </cell>
          <cell r="C495">
            <v>29.513471603393551</v>
          </cell>
          <cell r="D495">
            <v>149.37054443359381</v>
          </cell>
          <cell r="E495">
            <v>39.959110260009773</v>
          </cell>
          <cell r="F495">
            <v>44.170558929443359</v>
          </cell>
        </row>
        <row r="496">
          <cell r="A496">
            <v>42871</v>
          </cell>
          <cell r="B496">
            <v>88.970382690429688</v>
          </cell>
          <cell r="C496">
            <v>29.670854568481449</v>
          </cell>
          <cell r="D496">
            <v>148.96278381347659</v>
          </cell>
          <cell r="E496">
            <v>39.932655334472663</v>
          </cell>
          <cell r="F496">
            <v>44.609073638916023</v>
          </cell>
        </row>
        <row r="497">
          <cell r="A497">
            <v>42872</v>
          </cell>
          <cell r="B497">
            <v>87.076980590820313</v>
          </cell>
          <cell r="C497">
            <v>29.024763107299801</v>
          </cell>
          <cell r="D497">
            <v>144.05967712402341</v>
          </cell>
          <cell r="E497">
            <v>38.998039245605469</v>
          </cell>
          <cell r="F497">
            <v>44.138660430908203</v>
          </cell>
        </row>
        <row r="498">
          <cell r="A498">
            <v>42873</v>
          </cell>
          <cell r="B498">
            <v>86.987762451171875</v>
          </cell>
          <cell r="C498">
            <v>29.173856735229489</v>
          </cell>
          <cell r="D498">
            <v>146.8543395996094</v>
          </cell>
          <cell r="E498">
            <v>38.945137023925781</v>
          </cell>
          <cell r="F498">
            <v>44.744621276855469</v>
          </cell>
        </row>
        <row r="499">
          <cell r="A499">
            <v>42874</v>
          </cell>
          <cell r="B499">
            <v>86.640800476074219</v>
          </cell>
          <cell r="C499">
            <v>29.32295989990234</v>
          </cell>
          <cell r="D499">
            <v>147.25218200683591</v>
          </cell>
          <cell r="E499">
            <v>39.068580627441413</v>
          </cell>
          <cell r="F499">
            <v>45.980445861816413</v>
          </cell>
        </row>
        <row r="500">
          <cell r="A500">
            <v>42877</v>
          </cell>
          <cell r="B500">
            <v>88.167427062988281</v>
          </cell>
          <cell r="C500">
            <v>29.62944412231445</v>
          </cell>
          <cell r="D500">
            <v>147.43119812011719</v>
          </cell>
          <cell r="E500">
            <v>39.350715637207031</v>
          </cell>
          <cell r="F500">
            <v>47.264087677001953</v>
          </cell>
        </row>
        <row r="501">
          <cell r="A501">
            <v>42878</v>
          </cell>
          <cell r="B501">
            <v>87.721336364746094</v>
          </cell>
          <cell r="C501">
            <v>29.703994750976559</v>
          </cell>
          <cell r="D501">
            <v>147.2621154785156</v>
          </cell>
          <cell r="E501">
            <v>39.289016723632813</v>
          </cell>
          <cell r="F501">
            <v>47.216255187988281</v>
          </cell>
        </row>
        <row r="502">
          <cell r="A502">
            <v>42879</v>
          </cell>
          <cell r="B502">
            <v>88.821701049804688</v>
          </cell>
          <cell r="C502">
            <v>29.919353485107418</v>
          </cell>
          <cell r="D502">
            <v>149.2213439941406</v>
          </cell>
          <cell r="E502">
            <v>39.527072906494141</v>
          </cell>
          <cell r="F502">
            <v>46.753814697265618</v>
          </cell>
        </row>
        <row r="503">
          <cell r="A503">
            <v>42880</v>
          </cell>
          <cell r="B503">
            <v>90.477188110351563</v>
          </cell>
          <cell r="C503">
            <v>30.035322189331051</v>
          </cell>
          <cell r="D503">
            <v>151.13090515136719</v>
          </cell>
          <cell r="E503">
            <v>39.853309631347663</v>
          </cell>
          <cell r="F503">
            <v>46.602325439453118</v>
          </cell>
        </row>
        <row r="504">
          <cell r="A504">
            <v>42881</v>
          </cell>
          <cell r="B504">
            <v>90.041015625</v>
          </cell>
          <cell r="C504">
            <v>30.035322189331051</v>
          </cell>
          <cell r="D504">
            <v>151.29997253417969</v>
          </cell>
          <cell r="E504">
            <v>39.906200408935547</v>
          </cell>
          <cell r="F504">
            <v>46.312473297119141</v>
          </cell>
        </row>
        <row r="505">
          <cell r="A505">
            <v>42885</v>
          </cell>
          <cell r="B505">
            <v>90.070762634277344</v>
          </cell>
          <cell r="C505">
            <v>29.969053268432621</v>
          </cell>
          <cell r="D505">
            <v>151.5486145019531</v>
          </cell>
          <cell r="E505">
            <v>40.047271728515618</v>
          </cell>
          <cell r="F505">
            <v>46.167545318603523</v>
          </cell>
        </row>
        <row r="506">
          <cell r="A506">
            <v>42886</v>
          </cell>
          <cell r="B506">
            <v>88.861351013183594</v>
          </cell>
          <cell r="C506">
            <v>29.911077499389648</v>
          </cell>
          <cell r="D506">
            <v>150.63362121582031</v>
          </cell>
          <cell r="E506">
            <v>40.020832061767578</v>
          </cell>
          <cell r="F506">
            <v>46.111175537109382</v>
          </cell>
        </row>
        <row r="507">
          <cell r="A507">
            <v>42887</v>
          </cell>
          <cell r="B507">
            <v>89.267791748046875</v>
          </cell>
          <cell r="C507">
            <v>29.919353485107418</v>
          </cell>
          <cell r="D507">
            <v>150.7032470703125</v>
          </cell>
          <cell r="E507">
            <v>40.373516082763672</v>
          </cell>
          <cell r="F507">
            <v>47.198139190673828</v>
          </cell>
        </row>
        <row r="508">
          <cell r="A508">
            <v>42888</v>
          </cell>
          <cell r="B508">
            <v>90.070762634277344</v>
          </cell>
          <cell r="C508">
            <v>30.085027694702148</v>
          </cell>
          <cell r="D508">
            <v>152.7718811035156</v>
          </cell>
          <cell r="E508">
            <v>40.258888244628913</v>
          </cell>
          <cell r="F508">
            <v>47.165931701660163</v>
          </cell>
        </row>
        <row r="509">
          <cell r="A509">
            <v>42891</v>
          </cell>
          <cell r="B509">
            <v>90.586235046386719</v>
          </cell>
          <cell r="C509">
            <v>30.10158538818359</v>
          </cell>
          <cell r="D509">
            <v>152.7917785644531</v>
          </cell>
          <cell r="E509">
            <v>40.488140106201172</v>
          </cell>
          <cell r="F509">
            <v>47.391384124755859</v>
          </cell>
        </row>
        <row r="510">
          <cell r="A510">
            <v>42892</v>
          </cell>
          <cell r="B510">
            <v>90.308662414550781</v>
          </cell>
          <cell r="C510">
            <v>29.927633285522461</v>
          </cell>
          <cell r="D510">
            <v>151.97624206542969</v>
          </cell>
          <cell r="E510">
            <v>40.214801788330078</v>
          </cell>
          <cell r="F510">
            <v>46.859981536865227</v>
          </cell>
        </row>
        <row r="511">
          <cell r="A511">
            <v>42893</v>
          </cell>
          <cell r="B511">
            <v>90.596153259277344</v>
          </cell>
          <cell r="C511">
            <v>30.035322189331051</v>
          </cell>
          <cell r="D511">
            <v>152.28456115722659</v>
          </cell>
          <cell r="E511">
            <v>40.029640197753913</v>
          </cell>
          <cell r="F511">
            <v>46.320522308349609</v>
          </cell>
        </row>
        <row r="512">
          <cell r="A512">
            <v>42894</v>
          </cell>
          <cell r="B512">
            <v>90.457366943359375</v>
          </cell>
          <cell r="C512">
            <v>30.217559814453121</v>
          </cell>
          <cell r="D512">
            <v>153.8658752441406</v>
          </cell>
          <cell r="E512">
            <v>40.047271728515618</v>
          </cell>
          <cell r="F512">
            <v>46.795570373535163</v>
          </cell>
        </row>
        <row r="513">
          <cell r="A513">
            <v>42895</v>
          </cell>
          <cell r="B513">
            <v>86.511932373046875</v>
          </cell>
          <cell r="C513">
            <v>29.579738616943359</v>
          </cell>
          <cell r="D513">
            <v>148.78376770019531</v>
          </cell>
          <cell r="E513">
            <v>39.703403472900391</v>
          </cell>
          <cell r="F513">
            <v>45.934047698974609</v>
          </cell>
        </row>
        <row r="514">
          <cell r="A514">
            <v>42898</v>
          </cell>
          <cell r="B514">
            <v>85.431411743164063</v>
          </cell>
          <cell r="C514">
            <v>29.5963020324707</v>
          </cell>
          <cell r="D514">
            <v>147.63008117675781</v>
          </cell>
          <cell r="E514">
            <v>39.544700622558587</v>
          </cell>
          <cell r="F514">
            <v>46.288314819335938</v>
          </cell>
        </row>
        <row r="515">
          <cell r="A515">
            <v>42899</v>
          </cell>
          <cell r="B515">
            <v>86.511932373046875</v>
          </cell>
          <cell r="C515">
            <v>29.72055816650391</v>
          </cell>
          <cell r="D515">
            <v>149.85786437988281</v>
          </cell>
          <cell r="E515">
            <v>39.659317016601563</v>
          </cell>
          <cell r="F515">
            <v>46.328578948974609</v>
          </cell>
        </row>
        <row r="516">
          <cell r="A516">
            <v>42900</v>
          </cell>
          <cell r="B516">
            <v>86.412796020507813</v>
          </cell>
          <cell r="C516">
            <v>29.430635452270511</v>
          </cell>
          <cell r="D516">
            <v>149.4302062988281</v>
          </cell>
          <cell r="E516">
            <v>39.509418487548828</v>
          </cell>
          <cell r="F516">
            <v>45.901847839355469</v>
          </cell>
        </row>
        <row r="517">
          <cell r="A517">
            <v>42901</v>
          </cell>
          <cell r="B517">
            <v>85.520622253417969</v>
          </cell>
          <cell r="C517">
            <v>29.248403549194339</v>
          </cell>
          <cell r="D517">
            <v>148.982666015625</v>
          </cell>
          <cell r="E517">
            <v>39.394813537597663</v>
          </cell>
          <cell r="F517">
            <v>45.837436676025391</v>
          </cell>
        </row>
        <row r="518">
          <cell r="A518">
            <v>42902</v>
          </cell>
          <cell r="B518">
            <v>85.252967834472656</v>
          </cell>
          <cell r="C518">
            <v>29.16557693481445</v>
          </cell>
          <cell r="D518">
            <v>149.8180847167969</v>
          </cell>
          <cell r="E518">
            <v>39.756317138671882</v>
          </cell>
          <cell r="F518">
            <v>45.748867034912109</v>
          </cell>
        </row>
        <row r="519">
          <cell r="A519">
            <v>42905</v>
          </cell>
          <cell r="B519">
            <v>86.779594421386719</v>
          </cell>
          <cell r="C519">
            <v>29.414072036743161</v>
          </cell>
          <cell r="D519">
            <v>152.0359191894531</v>
          </cell>
          <cell r="E519">
            <v>40.320598602294922</v>
          </cell>
          <cell r="F519">
            <v>46.384929656982422</v>
          </cell>
        </row>
        <row r="520">
          <cell r="A520">
            <v>42906</v>
          </cell>
          <cell r="B520">
            <v>86.164970397949219</v>
          </cell>
          <cell r="C520">
            <v>28.87565994262695</v>
          </cell>
          <cell r="D520">
            <v>151.4193115234375</v>
          </cell>
          <cell r="E520">
            <v>40.417587280273438</v>
          </cell>
          <cell r="F520">
            <v>45.724708557128913</v>
          </cell>
        </row>
        <row r="521">
          <cell r="A521">
            <v>42907</v>
          </cell>
          <cell r="B521">
            <v>86.799415588378906</v>
          </cell>
          <cell r="C521">
            <v>28.643728256225589</v>
          </cell>
          <cell r="D521">
            <v>153.07025146484381</v>
          </cell>
          <cell r="E521">
            <v>40.849651336669922</v>
          </cell>
          <cell r="F521">
            <v>45.354343414306641</v>
          </cell>
        </row>
        <row r="522">
          <cell r="A522">
            <v>42908</v>
          </cell>
          <cell r="B522">
            <v>87.701507568359375</v>
          </cell>
          <cell r="C522">
            <v>28.461496353149411</v>
          </cell>
          <cell r="D522">
            <v>152.56303405761719</v>
          </cell>
          <cell r="E522">
            <v>44.350025177001953</v>
          </cell>
          <cell r="F522">
            <v>45.467060089111328</v>
          </cell>
        </row>
        <row r="523">
          <cell r="A523">
            <v>42909</v>
          </cell>
          <cell r="B523">
            <v>87.850212097167969</v>
          </cell>
          <cell r="C523">
            <v>28.320672988891602</v>
          </cell>
          <cell r="D523">
            <v>154.22393798828119</v>
          </cell>
          <cell r="E523">
            <v>44.923137664794922</v>
          </cell>
          <cell r="F523">
            <v>45.821331024169922</v>
          </cell>
        </row>
        <row r="524">
          <cell r="A524">
            <v>42912</v>
          </cell>
          <cell r="B524">
            <v>87.344642639160156</v>
          </cell>
          <cell r="C524">
            <v>28.22127723693848</v>
          </cell>
          <cell r="D524">
            <v>152.75199890136719</v>
          </cell>
          <cell r="E524">
            <v>44.843788146972663</v>
          </cell>
          <cell r="F524">
            <v>45.539527893066413</v>
          </cell>
        </row>
        <row r="525">
          <cell r="A525">
            <v>42913</v>
          </cell>
          <cell r="B525">
            <v>86.918365478515625</v>
          </cell>
          <cell r="C525">
            <v>27.873382568359379</v>
          </cell>
          <cell r="D525">
            <v>149.75840759277341</v>
          </cell>
          <cell r="E525">
            <v>44.746784210205078</v>
          </cell>
          <cell r="F525">
            <v>44.629707336425781</v>
          </cell>
        </row>
        <row r="526">
          <cell r="A526">
            <v>42914</v>
          </cell>
          <cell r="B526">
            <v>87.324813842773438</v>
          </cell>
          <cell r="C526">
            <v>28.328960418701168</v>
          </cell>
          <cell r="D526">
            <v>152.4039001464844</v>
          </cell>
          <cell r="E526">
            <v>44.852596282958977</v>
          </cell>
          <cell r="F526">
            <v>45.217460632324219</v>
          </cell>
        </row>
        <row r="527">
          <cell r="A527">
            <v>42915</v>
          </cell>
          <cell r="B527">
            <v>86.0460205078125</v>
          </cell>
          <cell r="C527">
            <v>27.78226280212402</v>
          </cell>
          <cell r="D527">
            <v>150.21589660644531</v>
          </cell>
          <cell r="E527">
            <v>44.261852264404297</v>
          </cell>
          <cell r="F527">
            <v>44.347896575927727</v>
          </cell>
        </row>
        <row r="528">
          <cell r="A528">
            <v>42916</v>
          </cell>
          <cell r="B528">
            <v>85.847747802734375</v>
          </cell>
          <cell r="C528">
            <v>27.947927474975589</v>
          </cell>
          <cell r="D528">
            <v>150.15625</v>
          </cell>
          <cell r="E528">
            <v>44.208953857421882</v>
          </cell>
          <cell r="F528">
            <v>44.460613250732422</v>
          </cell>
        </row>
        <row r="529">
          <cell r="A529">
            <v>42919</v>
          </cell>
          <cell r="B529">
            <v>85.352104187011719</v>
          </cell>
          <cell r="C529">
            <v>27.715997695922852</v>
          </cell>
          <cell r="D529">
            <v>147.6201477050781</v>
          </cell>
          <cell r="E529">
            <v>43.521228790283203</v>
          </cell>
          <cell r="F529">
            <v>44.243232727050781</v>
          </cell>
        </row>
        <row r="530">
          <cell r="A530">
            <v>42921</v>
          </cell>
          <cell r="B530">
            <v>86.739936828613281</v>
          </cell>
          <cell r="C530">
            <v>28.444925308227539</v>
          </cell>
          <cell r="D530">
            <v>149.51972961425781</v>
          </cell>
          <cell r="E530">
            <v>43.609394073486328</v>
          </cell>
          <cell r="F530">
            <v>44.645805358886719</v>
          </cell>
        </row>
        <row r="531">
          <cell r="A531">
            <v>42922</v>
          </cell>
          <cell r="B531">
            <v>86.0955810546875</v>
          </cell>
          <cell r="C531">
            <v>27.856805801391602</v>
          </cell>
          <cell r="D531">
            <v>148.00799560546881</v>
          </cell>
          <cell r="E531">
            <v>43.071537017822273</v>
          </cell>
          <cell r="F531">
            <v>44.114406585693359</v>
          </cell>
        </row>
        <row r="532">
          <cell r="A532">
            <v>42923</v>
          </cell>
          <cell r="B532">
            <v>87.156288146972656</v>
          </cell>
          <cell r="C532">
            <v>28.063886642456051</v>
          </cell>
          <cell r="D532">
            <v>150.61372375488281</v>
          </cell>
          <cell r="E532">
            <v>43.512405395507813</v>
          </cell>
          <cell r="F532">
            <v>44.565288543701172</v>
          </cell>
        </row>
        <row r="533">
          <cell r="A533">
            <v>42926</v>
          </cell>
          <cell r="B533">
            <v>87.731254577636719</v>
          </cell>
          <cell r="C533">
            <v>27.873382568359379</v>
          </cell>
          <cell r="D533">
            <v>152.66249084472659</v>
          </cell>
          <cell r="E533">
            <v>43.750465393066413</v>
          </cell>
          <cell r="F533">
            <v>44.798774719238281</v>
          </cell>
        </row>
        <row r="534">
          <cell r="A534">
            <v>42927</v>
          </cell>
          <cell r="B534">
            <v>87.582550048828125</v>
          </cell>
          <cell r="C534">
            <v>28.09702110290527</v>
          </cell>
          <cell r="D534">
            <v>154.42283630371091</v>
          </cell>
          <cell r="E534">
            <v>43.979709625244141</v>
          </cell>
          <cell r="F534">
            <v>44.549182891845703</v>
          </cell>
        </row>
        <row r="535">
          <cell r="A535">
            <v>42928</v>
          </cell>
          <cell r="B535">
            <v>89.614738464355469</v>
          </cell>
          <cell r="C535">
            <v>28.370376586914059</v>
          </cell>
          <cell r="D535">
            <v>158.03302001953119</v>
          </cell>
          <cell r="E535">
            <v>44.482284545898438</v>
          </cell>
          <cell r="F535">
            <v>45.249664306640618</v>
          </cell>
        </row>
        <row r="536">
          <cell r="A536">
            <v>42929</v>
          </cell>
          <cell r="B536">
            <v>88.791954040527344</v>
          </cell>
          <cell r="C536">
            <v>28.36209869384766</v>
          </cell>
          <cell r="D536">
            <v>158.39105224609381</v>
          </cell>
          <cell r="E536">
            <v>44.39410400390625</v>
          </cell>
          <cell r="F536">
            <v>45.273811340332031</v>
          </cell>
        </row>
        <row r="537">
          <cell r="A537">
            <v>42930</v>
          </cell>
          <cell r="B537">
            <v>89.218215942382813</v>
          </cell>
          <cell r="C537">
            <v>28.726556777954102</v>
          </cell>
          <cell r="D537">
            <v>159.09718322753909</v>
          </cell>
          <cell r="E537">
            <v>44.579277038574219</v>
          </cell>
          <cell r="F537">
            <v>45.740821838378913</v>
          </cell>
        </row>
        <row r="538">
          <cell r="A538">
            <v>42933</v>
          </cell>
          <cell r="B538">
            <v>88.514396667480469</v>
          </cell>
          <cell r="C538">
            <v>28.5526123046875</v>
          </cell>
          <cell r="D538">
            <v>158.8584899902344</v>
          </cell>
          <cell r="E538">
            <v>44.641220092773438</v>
          </cell>
          <cell r="F538">
            <v>45.459014892578118</v>
          </cell>
        </row>
        <row r="539">
          <cell r="A539">
            <v>42934</v>
          </cell>
          <cell r="B539">
            <v>88.49456787109375</v>
          </cell>
          <cell r="C539">
            <v>28.602310180664059</v>
          </cell>
          <cell r="D539">
            <v>161.97142028808591</v>
          </cell>
          <cell r="E539">
            <v>44.650066375732422</v>
          </cell>
          <cell r="F539">
            <v>45.322124481201172</v>
          </cell>
        </row>
        <row r="540">
          <cell r="A540">
            <v>42935</v>
          </cell>
          <cell r="B540">
            <v>88.78204345703125</v>
          </cell>
          <cell r="C540">
            <v>28.627155303955082</v>
          </cell>
          <cell r="D540">
            <v>163.24444580078119</v>
          </cell>
          <cell r="E540">
            <v>45.1368408203125</v>
          </cell>
          <cell r="F540">
            <v>45.716659545898438</v>
          </cell>
        </row>
        <row r="541">
          <cell r="A541">
            <v>42936</v>
          </cell>
          <cell r="B541">
            <v>89.753532409667969</v>
          </cell>
          <cell r="C541">
            <v>28.784536361694339</v>
          </cell>
          <cell r="D541">
            <v>163.63232421875</v>
          </cell>
          <cell r="E541">
            <v>45.251899719238281</v>
          </cell>
          <cell r="F541">
            <v>43.454181671142578</v>
          </cell>
        </row>
        <row r="542">
          <cell r="A542">
            <v>42937</v>
          </cell>
          <cell r="B542">
            <v>88.910911560058594</v>
          </cell>
          <cell r="C542">
            <v>28.767972946166989</v>
          </cell>
          <cell r="D542">
            <v>163.53285217285159</v>
          </cell>
          <cell r="E542">
            <v>44.959827423095703</v>
          </cell>
          <cell r="F542">
            <v>43.349506378173828</v>
          </cell>
        </row>
        <row r="543">
          <cell r="A543">
            <v>42940</v>
          </cell>
          <cell r="B543">
            <v>88.891075134277344</v>
          </cell>
          <cell r="C543">
            <v>28.577451705932621</v>
          </cell>
          <cell r="D543">
            <v>165.09428405761719</v>
          </cell>
          <cell r="E543">
            <v>44.9244384765625</v>
          </cell>
          <cell r="F543">
            <v>42.850315093994141</v>
          </cell>
        </row>
        <row r="544">
          <cell r="A544">
            <v>42941</v>
          </cell>
          <cell r="B544">
            <v>89.842750549316406</v>
          </cell>
          <cell r="C544">
            <v>28.71827507019043</v>
          </cell>
          <cell r="D544">
            <v>164.3782043457031</v>
          </cell>
          <cell r="E544">
            <v>45.28729248046875</v>
          </cell>
          <cell r="F544">
            <v>42.890560150146477</v>
          </cell>
        </row>
        <row r="545">
          <cell r="A545">
            <v>42942</v>
          </cell>
          <cell r="B545">
            <v>90.278923034667969</v>
          </cell>
          <cell r="C545">
            <v>28.784536361694339</v>
          </cell>
          <cell r="D545">
            <v>164.70640563964841</v>
          </cell>
          <cell r="E545">
            <v>45.28729248046875</v>
          </cell>
          <cell r="F545">
            <v>42.785892486572273</v>
          </cell>
        </row>
        <row r="546">
          <cell r="A546">
            <v>42943</v>
          </cell>
          <cell r="B546">
            <v>89.723785400390625</v>
          </cell>
          <cell r="C546">
            <v>28.966779708862301</v>
          </cell>
          <cell r="D546">
            <v>169.5100402832031</v>
          </cell>
          <cell r="E546">
            <v>44.650066375732422</v>
          </cell>
          <cell r="F546">
            <v>42.262550354003913</v>
          </cell>
        </row>
        <row r="547">
          <cell r="A547">
            <v>42944</v>
          </cell>
          <cell r="B547">
            <v>89.832847595214844</v>
          </cell>
          <cell r="C547">
            <v>29.248403549194339</v>
          </cell>
          <cell r="D547">
            <v>171.50907897949219</v>
          </cell>
          <cell r="E547">
            <v>44.517303466796882</v>
          </cell>
          <cell r="F547">
            <v>42.576560974121087</v>
          </cell>
        </row>
        <row r="548">
          <cell r="A548">
            <v>42947</v>
          </cell>
          <cell r="B548">
            <v>90.011276245117188</v>
          </cell>
          <cell r="C548">
            <v>29.38094520568848</v>
          </cell>
          <cell r="D548">
            <v>168.32655334472659</v>
          </cell>
          <cell r="E548">
            <v>44.189846038818359</v>
          </cell>
          <cell r="F548">
            <v>42.826156616210938</v>
          </cell>
        </row>
        <row r="549">
          <cell r="A549">
            <v>42948</v>
          </cell>
          <cell r="B549">
            <v>90.427627563476563</v>
          </cell>
          <cell r="C549">
            <v>30.109872817993161</v>
          </cell>
          <cell r="D549">
            <v>168.93324279785159</v>
          </cell>
          <cell r="E549">
            <v>44.393417358398438</v>
          </cell>
          <cell r="F549">
            <v>43.003292083740227</v>
          </cell>
        </row>
        <row r="550">
          <cell r="A550">
            <v>42949</v>
          </cell>
          <cell r="B550">
            <v>89.109176635742188</v>
          </cell>
          <cell r="C550">
            <v>30.350090026855469</v>
          </cell>
          <cell r="D550">
            <v>168.37626647949219</v>
          </cell>
          <cell r="E550">
            <v>44.048255920410163</v>
          </cell>
          <cell r="F550">
            <v>42.81005859375</v>
          </cell>
        </row>
        <row r="551">
          <cell r="A551">
            <v>42950</v>
          </cell>
          <cell r="B551">
            <v>89.565177917480469</v>
          </cell>
          <cell r="C551">
            <v>30.452730178833011</v>
          </cell>
          <cell r="D551">
            <v>167.670166015625</v>
          </cell>
          <cell r="E551">
            <v>44.455368041992188</v>
          </cell>
          <cell r="F551">
            <v>42.632904052734382</v>
          </cell>
        </row>
        <row r="552">
          <cell r="A552">
            <v>42951</v>
          </cell>
          <cell r="B552">
            <v>89.664306640625</v>
          </cell>
          <cell r="C552">
            <v>30.29417610168457</v>
          </cell>
          <cell r="D552">
            <v>168.69450378417969</v>
          </cell>
          <cell r="E552">
            <v>44.216403961181641</v>
          </cell>
          <cell r="F552">
            <v>42.367225646972663</v>
          </cell>
        </row>
        <row r="553">
          <cell r="A553">
            <v>42954</v>
          </cell>
          <cell r="B553">
            <v>89.7138671875</v>
          </cell>
          <cell r="C553">
            <v>30.40267181396484</v>
          </cell>
          <cell r="D553">
            <v>171.04164123535159</v>
          </cell>
          <cell r="E553">
            <v>43.933193206787109</v>
          </cell>
          <cell r="F553">
            <v>42.431625366210938</v>
          </cell>
        </row>
        <row r="554">
          <cell r="A554">
            <v>42955</v>
          </cell>
          <cell r="B554">
            <v>89.475967407226563</v>
          </cell>
          <cell r="C554">
            <v>30.385982513427731</v>
          </cell>
          <cell r="D554">
            <v>170.2957458496094</v>
          </cell>
          <cell r="E554">
            <v>43.455280303955078</v>
          </cell>
          <cell r="F554">
            <v>42.101520538330078</v>
          </cell>
        </row>
        <row r="555">
          <cell r="A555">
            <v>42956</v>
          </cell>
          <cell r="B555">
            <v>89.337181091308594</v>
          </cell>
          <cell r="C555">
            <v>30.53619384765625</v>
          </cell>
          <cell r="D555">
            <v>170.2460021972656</v>
          </cell>
          <cell r="E555">
            <v>43.419864654541023</v>
          </cell>
          <cell r="F555">
            <v>42.487995147705078</v>
          </cell>
        </row>
        <row r="556">
          <cell r="A556">
            <v>42957</v>
          </cell>
          <cell r="B556">
            <v>86.868804931640625</v>
          </cell>
          <cell r="C556">
            <v>30.160640716552731</v>
          </cell>
          <cell r="D556">
            <v>166.48664855957031</v>
          </cell>
          <cell r="E556">
            <v>42.570236206054688</v>
          </cell>
          <cell r="F556">
            <v>42.141777038574219</v>
          </cell>
        </row>
        <row r="557">
          <cell r="A557">
            <v>42958</v>
          </cell>
          <cell r="B557">
            <v>87.5230712890625</v>
          </cell>
          <cell r="C557">
            <v>29.935319900512699</v>
          </cell>
          <cell r="D557">
            <v>167.1629333496094</v>
          </cell>
          <cell r="E557">
            <v>42.694133758544922</v>
          </cell>
          <cell r="F557">
            <v>42.447738647460938</v>
          </cell>
        </row>
        <row r="558">
          <cell r="A558">
            <v>42961</v>
          </cell>
          <cell r="B558">
            <v>89.466056823730469</v>
          </cell>
          <cell r="C558">
            <v>30.32755088806152</v>
          </cell>
          <cell r="D558">
            <v>169.818359375</v>
          </cell>
          <cell r="E558">
            <v>43.234012603759773</v>
          </cell>
          <cell r="F558">
            <v>43.116008758544922</v>
          </cell>
        </row>
        <row r="559">
          <cell r="A559">
            <v>42962</v>
          </cell>
          <cell r="B559">
            <v>89.912132263183594</v>
          </cell>
          <cell r="C559">
            <v>30.043807983398441</v>
          </cell>
          <cell r="D559">
            <v>170.06700134277341</v>
          </cell>
          <cell r="E559">
            <v>43.216320037841797</v>
          </cell>
          <cell r="F559">
            <v>43.373664855957031</v>
          </cell>
        </row>
        <row r="560">
          <cell r="A560">
            <v>42963</v>
          </cell>
          <cell r="B560">
            <v>91.438758850097656</v>
          </cell>
          <cell r="C560">
            <v>29.8852424621582</v>
          </cell>
          <cell r="D560">
            <v>169.07244873046881</v>
          </cell>
          <cell r="E560">
            <v>43.588020324707031</v>
          </cell>
          <cell r="F560">
            <v>42.922779083251953</v>
          </cell>
        </row>
        <row r="561">
          <cell r="A561">
            <v>42964</v>
          </cell>
          <cell r="B561">
            <v>90.090576171875</v>
          </cell>
          <cell r="C561">
            <v>29.351131439208981</v>
          </cell>
          <cell r="D561">
            <v>165.99931335449219</v>
          </cell>
          <cell r="E561">
            <v>42.968502044677727</v>
          </cell>
          <cell r="F561">
            <v>42.085411071777337</v>
          </cell>
        </row>
        <row r="562">
          <cell r="A562">
            <v>42965</v>
          </cell>
          <cell r="B562">
            <v>89.971626281738281</v>
          </cell>
          <cell r="C562">
            <v>29.21760177612305</v>
          </cell>
          <cell r="D562">
            <v>166.49658203125</v>
          </cell>
          <cell r="E562">
            <v>43.030448913574219</v>
          </cell>
          <cell r="F562">
            <v>41.803604125976563</v>
          </cell>
        </row>
        <row r="563">
          <cell r="A563">
            <v>42968</v>
          </cell>
          <cell r="B563">
            <v>90.962936401367188</v>
          </cell>
          <cell r="C563">
            <v>29.14249420166016</v>
          </cell>
          <cell r="D563">
            <v>166.86456298828119</v>
          </cell>
          <cell r="E563">
            <v>43.27825927734375</v>
          </cell>
          <cell r="F563">
            <v>41.851917266845703</v>
          </cell>
        </row>
        <row r="564">
          <cell r="A564">
            <v>42969</v>
          </cell>
          <cell r="B564">
            <v>92.142593383789063</v>
          </cell>
          <cell r="C564">
            <v>28.917171478271481</v>
          </cell>
          <cell r="D564">
            <v>168.71440124511719</v>
          </cell>
          <cell r="E564">
            <v>43.596870422363281</v>
          </cell>
          <cell r="F564">
            <v>42.149822235107422</v>
          </cell>
        </row>
        <row r="565">
          <cell r="A565">
            <v>42970</v>
          </cell>
          <cell r="B565">
            <v>92.261558532714844</v>
          </cell>
          <cell r="C565">
            <v>28.925508499145511</v>
          </cell>
          <cell r="D565">
            <v>167.78948974609381</v>
          </cell>
          <cell r="E565">
            <v>43.428718566894531</v>
          </cell>
          <cell r="F565">
            <v>42.053203582763672</v>
          </cell>
        </row>
        <row r="566">
          <cell r="A566">
            <v>42971</v>
          </cell>
          <cell r="B566">
            <v>93.332176208496094</v>
          </cell>
          <cell r="C566">
            <v>28.967239379882809</v>
          </cell>
          <cell r="D566">
            <v>166.8247985839844</v>
          </cell>
          <cell r="E566">
            <v>43.534931182861328</v>
          </cell>
          <cell r="F566">
            <v>42.262550354003913</v>
          </cell>
        </row>
        <row r="567">
          <cell r="A567">
            <v>42972</v>
          </cell>
          <cell r="B567">
            <v>93.282608032226563</v>
          </cell>
          <cell r="C567">
            <v>28.933855056762699</v>
          </cell>
          <cell r="D567">
            <v>165.41255187988281</v>
          </cell>
          <cell r="E567">
            <v>43.579177856445313</v>
          </cell>
          <cell r="F567">
            <v>41.892169952392578</v>
          </cell>
        </row>
        <row r="568">
          <cell r="A568">
            <v>42975</v>
          </cell>
          <cell r="B568">
            <v>92.846427917480469</v>
          </cell>
          <cell r="C568">
            <v>28.917171478271481</v>
          </cell>
          <cell r="D568">
            <v>166.3275146484375</v>
          </cell>
          <cell r="E568">
            <v>43.579177856445313</v>
          </cell>
          <cell r="F568">
            <v>42.177101135253913</v>
          </cell>
        </row>
        <row r="569">
          <cell r="A569">
            <v>42976</v>
          </cell>
          <cell r="B569">
            <v>93.01495361328125</v>
          </cell>
          <cell r="C569">
            <v>28.983930587768551</v>
          </cell>
          <cell r="D569">
            <v>167.13310241699219</v>
          </cell>
          <cell r="E569">
            <v>43.765026092529297</v>
          </cell>
          <cell r="F569">
            <v>42.177101135253913</v>
          </cell>
        </row>
        <row r="570">
          <cell r="A570">
            <v>42977</v>
          </cell>
          <cell r="B570">
            <v>94.036003112792969</v>
          </cell>
          <cell r="C570">
            <v>29.117460250854489</v>
          </cell>
          <cell r="D570">
            <v>168.9928894042969</v>
          </cell>
          <cell r="E570">
            <v>44.074790954589837</v>
          </cell>
          <cell r="F570">
            <v>42.429462432861328</v>
          </cell>
        </row>
        <row r="571">
          <cell r="A571">
            <v>42978</v>
          </cell>
          <cell r="B571">
            <v>94.660530090332031</v>
          </cell>
          <cell r="C571">
            <v>29.267679214477539</v>
          </cell>
          <cell r="D571">
            <v>171.03172302246091</v>
          </cell>
          <cell r="E571">
            <v>44.543880462646477</v>
          </cell>
          <cell r="F571">
            <v>42.551570892333977</v>
          </cell>
        </row>
        <row r="572">
          <cell r="A572">
            <v>42979</v>
          </cell>
          <cell r="B572">
            <v>95.176010131835938</v>
          </cell>
          <cell r="C572">
            <v>29.284364700317379</v>
          </cell>
          <cell r="D572">
            <v>171.08143615722659</v>
          </cell>
          <cell r="E572">
            <v>44.800521850585938</v>
          </cell>
          <cell r="F572">
            <v>42.372474670410163</v>
          </cell>
        </row>
        <row r="573">
          <cell r="A573">
            <v>42983</v>
          </cell>
          <cell r="B573">
            <v>95.344535827636719</v>
          </cell>
          <cell r="C573">
            <v>29.225946426391602</v>
          </cell>
          <cell r="D573">
            <v>169.78852844238281</v>
          </cell>
          <cell r="E573">
            <v>45.074878692626953</v>
          </cell>
          <cell r="F573">
            <v>40.728054046630859</v>
          </cell>
        </row>
        <row r="574">
          <cell r="A574">
            <v>42984</v>
          </cell>
          <cell r="B574">
            <v>94.9876708984375</v>
          </cell>
          <cell r="C574">
            <v>29.843521118164059</v>
          </cell>
          <cell r="D574">
            <v>171.15104675292969</v>
          </cell>
          <cell r="E574">
            <v>45.145683288574219</v>
          </cell>
          <cell r="F574">
            <v>41.069961547851563</v>
          </cell>
        </row>
        <row r="575">
          <cell r="A575">
            <v>42985</v>
          </cell>
          <cell r="B575">
            <v>95.889762878417969</v>
          </cell>
          <cell r="C575">
            <v>29.659917831420898</v>
          </cell>
          <cell r="D575">
            <v>172.26496887207031</v>
          </cell>
          <cell r="E575">
            <v>45.782920837402337</v>
          </cell>
          <cell r="F575">
            <v>41.012977600097663</v>
          </cell>
        </row>
        <row r="576">
          <cell r="A576">
            <v>42986</v>
          </cell>
          <cell r="B576">
            <v>95.592361450195313</v>
          </cell>
          <cell r="C576">
            <v>29.367818832397461</v>
          </cell>
          <cell r="D576">
            <v>170.01725769042969</v>
          </cell>
          <cell r="E576">
            <v>45.650169372558587</v>
          </cell>
          <cell r="F576">
            <v>40.410560607910163</v>
          </cell>
        </row>
        <row r="577">
          <cell r="A577">
            <v>42989</v>
          </cell>
          <cell r="B577">
            <v>96.861236572265625</v>
          </cell>
          <cell r="C577">
            <v>29.85186767578125</v>
          </cell>
          <cell r="D577">
            <v>172.56329345703119</v>
          </cell>
          <cell r="E577">
            <v>46.455547332763672</v>
          </cell>
          <cell r="F577">
            <v>41.167659759521477</v>
          </cell>
        </row>
        <row r="578">
          <cell r="A578">
            <v>42990</v>
          </cell>
          <cell r="B578">
            <v>96.008720397949219</v>
          </cell>
          <cell r="C578">
            <v>30.118923187255859</v>
          </cell>
          <cell r="D578">
            <v>172.01629638671881</v>
          </cell>
          <cell r="E578">
            <v>46.703361511230469</v>
          </cell>
          <cell r="F578">
            <v>41.436294555664063</v>
          </cell>
        </row>
        <row r="579">
          <cell r="A579">
            <v>42991</v>
          </cell>
          <cell r="B579">
            <v>94.779487609863281</v>
          </cell>
          <cell r="C579">
            <v>30.319210052490231</v>
          </cell>
          <cell r="D579">
            <v>172.1058349609375</v>
          </cell>
          <cell r="E579">
            <v>46.729907989501953</v>
          </cell>
          <cell r="F579">
            <v>41.525836944580078</v>
          </cell>
        </row>
        <row r="580">
          <cell r="A580">
            <v>42992</v>
          </cell>
          <cell r="B580">
            <v>94.472183227539063</v>
          </cell>
          <cell r="C580">
            <v>30.444391250610352</v>
          </cell>
          <cell r="D580">
            <v>170.02723693847659</v>
          </cell>
          <cell r="E580">
            <v>46.721061706542969</v>
          </cell>
          <cell r="F580">
            <v>41.908458709716797</v>
          </cell>
        </row>
        <row r="581">
          <cell r="A581">
            <v>42993</v>
          </cell>
          <cell r="B581">
            <v>93.807998657226563</v>
          </cell>
          <cell r="C581">
            <v>30.878366470336911</v>
          </cell>
          <cell r="D581">
            <v>170.7035217285156</v>
          </cell>
          <cell r="E581">
            <v>43.136669158935547</v>
          </cell>
          <cell r="F581">
            <v>42.486454010009773</v>
          </cell>
        </row>
        <row r="582">
          <cell r="A582">
            <v>42996</v>
          </cell>
          <cell r="B582">
            <v>94.908363342285156</v>
          </cell>
          <cell r="C582">
            <v>30.878366470336911</v>
          </cell>
          <cell r="D582">
            <v>169.0823974609375</v>
          </cell>
          <cell r="E582">
            <v>42.773780822753913</v>
          </cell>
          <cell r="F582">
            <v>42.535285949707031</v>
          </cell>
        </row>
        <row r="583">
          <cell r="A583">
            <v>42997</v>
          </cell>
          <cell r="B583">
            <v>94.521751403808594</v>
          </cell>
          <cell r="C583">
            <v>31.070302963256839</v>
          </cell>
          <cell r="D583">
            <v>171.57872009277341</v>
          </cell>
          <cell r="E583">
            <v>42.517135620117188</v>
          </cell>
          <cell r="F583">
            <v>42.575992584228523</v>
          </cell>
        </row>
        <row r="584">
          <cell r="A584">
            <v>42998</v>
          </cell>
          <cell r="B584">
            <v>94.382957458496094</v>
          </cell>
          <cell r="C584">
            <v>30.936777114868161</v>
          </cell>
          <cell r="D584">
            <v>171.2306213378906</v>
          </cell>
          <cell r="E584">
            <v>42.455165863037109</v>
          </cell>
          <cell r="F584">
            <v>42.315494537353523</v>
          </cell>
        </row>
        <row r="585">
          <cell r="A585">
            <v>42999</v>
          </cell>
          <cell r="B585">
            <v>94.036003112792969</v>
          </cell>
          <cell r="C585">
            <v>31.0452766418457</v>
          </cell>
          <cell r="D585">
            <v>170.17640686035159</v>
          </cell>
          <cell r="E585">
            <v>42.455165863037109</v>
          </cell>
          <cell r="F585">
            <v>42.356193542480469</v>
          </cell>
        </row>
        <row r="586">
          <cell r="A586">
            <v>43000</v>
          </cell>
          <cell r="B586">
            <v>94.115310668945313</v>
          </cell>
          <cell r="C586">
            <v>31.028573989868161</v>
          </cell>
          <cell r="D586">
            <v>169.60951232910159</v>
          </cell>
          <cell r="E586">
            <v>42.623344421386719</v>
          </cell>
          <cell r="F586">
            <v>42.405040740966797</v>
          </cell>
        </row>
        <row r="587">
          <cell r="A587">
            <v>43003</v>
          </cell>
          <cell r="B587">
            <v>91.666763305664063</v>
          </cell>
          <cell r="C587">
            <v>31.01188850402832</v>
          </cell>
          <cell r="D587">
            <v>161.9813537597656</v>
          </cell>
          <cell r="E587">
            <v>42.455165863037109</v>
          </cell>
          <cell r="F587">
            <v>42.022430419921882</v>
          </cell>
        </row>
        <row r="588">
          <cell r="A588">
            <v>43004</v>
          </cell>
          <cell r="B588">
            <v>91.537895202636719</v>
          </cell>
          <cell r="C588">
            <v>31.270597457885739</v>
          </cell>
          <cell r="D588">
            <v>163.3140563964844</v>
          </cell>
          <cell r="E588">
            <v>42.410923004150391</v>
          </cell>
          <cell r="F588">
            <v>41.623523712158203</v>
          </cell>
        </row>
        <row r="589">
          <cell r="A589">
            <v>43005</v>
          </cell>
          <cell r="B589">
            <v>92.400337219238281</v>
          </cell>
          <cell r="C589">
            <v>31.329013824462891</v>
          </cell>
          <cell r="D589">
            <v>166.7651062011719</v>
          </cell>
          <cell r="E589">
            <v>42.623344421386719</v>
          </cell>
          <cell r="F589">
            <v>41.965442657470703</v>
          </cell>
        </row>
        <row r="590">
          <cell r="A590">
            <v>43006</v>
          </cell>
          <cell r="B590">
            <v>91.795639038085938</v>
          </cell>
          <cell r="C590">
            <v>31.5710334777832</v>
          </cell>
          <cell r="D590">
            <v>167.80937194824219</v>
          </cell>
          <cell r="E590">
            <v>42.552536010742188</v>
          </cell>
          <cell r="F590">
            <v>42.128253936767578</v>
          </cell>
        </row>
        <row r="591">
          <cell r="A591">
            <v>43007</v>
          </cell>
          <cell r="B591">
            <v>92.608512878417969</v>
          </cell>
          <cell r="C591">
            <v>31.779678344726559</v>
          </cell>
          <cell r="D591">
            <v>169.9377136230469</v>
          </cell>
          <cell r="E591">
            <v>42.791481018066413</v>
          </cell>
          <cell r="F591">
            <v>42.201522827148438</v>
          </cell>
        </row>
        <row r="592">
          <cell r="A592">
            <v>43010</v>
          </cell>
          <cell r="B592">
            <v>93.123992919921875</v>
          </cell>
          <cell r="C592">
            <v>32.580837249755859</v>
          </cell>
          <cell r="D592">
            <v>168.54534912109381</v>
          </cell>
          <cell r="E592">
            <v>43.18975830078125</v>
          </cell>
          <cell r="F592">
            <v>42.234092712402337</v>
          </cell>
        </row>
        <row r="593">
          <cell r="A593">
            <v>43011</v>
          </cell>
          <cell r="B593">
            <v>94.531654357910156</v>
          </cell>
          <cell r="C593">
            <v>32.864582061767578</v>
          </cell>
          <cell r="D593">
            <v>169.0326843261719</v>
          </cell>
          <cell r="E593">
            <v>43.092411041259773</v>
          </cell>
          <cell r="F593">
            <v>42.348049163818359</v>
          </cell>
        </row>
        <row r="594">
          <cell r="A594">
            <v>43012</v>
          </cell>
          <cell r="B594">
            <v>94.690277099609375</v>
          </cell>
          <cell r="C594">
            <v>32.831211090087891</v>
          </cell>
          <cell r="D594">
            <v>167.5010681152344</v>
          </cell>
          <cell r="E594">
            <v>43.27825927734375</v>
          </cell>
          <cell r="F594">
            <v>42.299213409423828</v>
          </cell>
        </row>
        <row r="595">
          <cell r="A595">
            <v>43013</v>
          </cell>
          <cell r="B595">
            <v>94.898452758789063</v>
          </cell>
          <cell r="C595">
            <v>32.989768981933587</v>
          </cell>
          <cell r="D595">
            <v>170.3056945800781</v>
          </cell>
          <cell r="E595">
            <v>43.287113189697273</v>
          </cell>
          <cell r="F595">
            <v>42.616691589355469</v>
          </cell>
        </row>
        <row r="596">
          <cell r="A596">
            <v>43014</v>
          </cell>
          <cell r="B596">
            <v>95.483322143554688</v>
          </cell>
          <cell r="C596">
            <v>33.073223114013672</v>
          </cell>
          <cell r="D596">
            <v>171.29029846191409</v>
          </cell>
          <cell r="E596">
            <v>42.835758209228523</v>
          </cell>
          <cell r="F596">
            <v>42.730670928955078</v>
          </cell>
        </row>
        <row r="597">
          <cell r="A597">
            <v>43017</v>
          </cell>
          <cell r="B597">
            <v>95.433753967285156</v>
          </cell>
          <cell r="C597">
            <v>33.265182495117188</v>
          </cell>
          <cell r="D597">
            <v>171.55882263183591</v>
          </cell>
          <cell r="E597">
            <v>42.800346374511719</v>
          </cell>
          <cell r="F597">
            <v>43.04815673828125</v>
          </cell>
        </row>
        <row r="598">
          <cell r="A598">
            <v>43018</v>
          </cell>
          <cell r="B598">
            <v>94.5614013671875</v>
          </cell>
          <cell r="C598">
            <v>33.089920043945313</v>
          </cell>
          <cell r="D598">
            <v>170.65379333496091</v>
          </cell>
          <cell r="E598">
            <v>42.835891723632813</v>
          </cell>
          <cell r="F598">
            <v>43.854084014892578</v>
          </cell>
        </row>
        <row r="599">
          <cell r="A599">
            <v>43019</v>
          </cell>
          <cell r="B599">
            <v>95.176010131835938</v>
          </cell>
          <cell r="C599">
            <v>32.797813415527337</v>
          </cell>
          <cell r="D599">
            <v>171.79750061035159</v>
          </cell>
          <cell r="E599">
            <v>42.898086547851563</v>
          </cell>
          <cell r="F599">
            <v>44.057613372802727</v>
          </cell>
        </row>
        <row r="600">
          <cell r="A600">
            <v>43020</v>
          </cell>
          <cell r="B600">
            <v>95.899665832519531</v>
          </cell>
          <cell r="C600">
            <v>32.706024169921882</v>
          </cell>
          <cell r="D600">
            <v>171.6085510253906</v>
          </cell>
          <cell r="E600">
            <v>42.853645324707031</v>
          </cell>
          <cell r="F600">
            <v>43.145851135253913</v>
          </cell>
        </row>
        <row r="601">
          <cell r="A601">
            <v>43021</v>
          </cell>
          <cell r="B601">
            <v>96.097930908203125</v>
          </cell>
          <cell r="C601">
            <v>33.106597900390618</v>
          </cell>
          <cell r="D601">
            <v>172.79206848144531</v>
          </cell>
          <cell r="E601">
            <v>43.191303253173828</v>
          </cell>
          <cell r="F601">
            <v>42.999313354492188</v>
          </cell>
        </row>
        <row r="602">
          <cell r="A602">
            <v>43024</v>
          </cell>
          <cell r="B602">
            <v>96.306114196777344</v>
          </cell>
          <cell r="C602">
            <v>33.181713104248047</v>
          </cell>
          <cell r="D602">
            <v>173.56779479980469</v>
          </cell>
          <cell r="E602">
            <v>43.413421630859382</v>
          </cell>
          <cell r="F602">
            <v>42.641132354736328</v>
          </cell>
        </row>
        <row r="603">
          <cell r="A603">
            <v>43025</v>
          </cell>
          <cell r="B603">
            <v>95.879859924316406</v>
          </cell>
          <cell r="C603">
            <v>33.206756591796882</v>
          </cell>
          <cell r="D603">
            <v>175.14910888671881</v>
          </cell>
          <cell r="E603">
            <v>43.706642150878913</v>
          </cell>
          <cell r="F603">
            <v>42.665538787841797</v>
          </cell>
        </row>
        <row r="604">
          <cell r="A604">
            <v>43026</v>
          </cell>
          <cell r="B604">
            <v>95.602279663085938</v>
          </cell>
          <cell r="C604">
            <v>33.590652465820313</v>
          </cell>
          <cell r="D604">
            <v>175.06953430175781</v>
          </cell>
          <cell r="E604">
            <v>44.053165435791023</v>
          </cell>
          <cell r="F604">
            <v>42.502723693847663</v>
          </cell>
        </row>
        <row r="605">
          <cell r="A605">
            <v>43027</v>
          </cell>
          <cell r="B605">
            <v>96.34576416015625</v>
          </cell>
          <cell r="C605">
            <v>33.457118988037109</v>
          </cell>
          <cell r="D605">
            <v>173.6075744628906</v>
          </cell>
          <cell r="E605">
            <v>43.848804473876953</v>
          </cell>
          <cell r="F605">
            <v>42.567859649658203</v>
          </cell>
        </row>
        <row r="606">
          <cell r="A606">
            <v>43028</v>
          </cell>
          <cell r="B606">
            <v>98.040916442871094</v>
          </cell>
          <cell r="C606">
            <v>33.740867614746087</v>
          </cell>
          <cell r="D606">
            <v>174.0252685546875</v>
          </cell>
          <cell r="E606">
            <v>43.75994873046875</v>
          </cell>
          <cell r="F606">
            <v>42.348049163818359</v>
          </cell>
        </row>
        <row r="607">
          <cell r="A607">
            <v>43031</v>
          </cell>
          <cell r="B607">
            <v>97.584915161132813</v>
          </cell>
          <cell r="C607">
            <v>34.074687957763672</v>
          </cell>
          <cell r="D607">
            <v>170.3355407714844</v>
          </cell>
          <cell r="E607">
            <v>43.813262939453118</v>
          </cell>
          <cell r="F607">
            <v>43.463321685791023</v>
          </cell>
        </row>
        <row r="608">
          <cell r="A608">
            <v>43032</v>
          </cell>
          <cell r="B608">
            <v>97.803001403808594</v>
          </cell>
          <cell r="C608">
            <v>34.174835205078118</v>
          </cell>
          <cell r="D608">
            <v>170.86265563964841</v>
          </cell>
          <cell r="E608">
            <v>44.408573150634773</v>
          </cell>
          <cell r="F608">
            <v>44.163436889648438</v>
          </cell>
        </row>
        <row r="609">
          <cell r="A609">
            <v>43033</v>
          </cell>
          <cell r="B609">
            <v>98.72491455078125</v>
          </cell>
          <cell r="C609">
            <v>34.032951354980469</v>
          </cell>
          <cell r="D609">
            <v>169.669189453125</v>
          </cell>
          <cell r="E609">
            <v>44.159797668457031</v>
          </cell>
          <cell r="F609">
            <v>43.829666137695313</v>
          </cell>
        </row>
        <row r="610">
          <cell r="A610">
            <v>43034</v>
          </cell>
          <cell r="B610">
            <v>99.180915832519531</v>
          </cell>
          <cell r="C610">
            <v>34.508663177490227</v>
          </cell>
          <cell r="D610">
            <v>169.69903564453119</v>
          </cell>
          <cell r="E610">
            <v>44.559627532958977</v>
          </cell>
          <cell r="F610">
            <v>43.797100067138672</v>
          </cell>
        </row>
        <row r="611">
          <cell r="A611">
            <v>43035</v>
          </cell>
          <cell r="B611">
            <v>99.825271606445313</v>
          </cell>
          <cell r="C611">
            <v>37.054035186767578</v>
          </cell>
          <cell r="D611">
            <v>176.90946960449219</v>
          </cell>
          <cell r="E611">
            <v>45.208255767822273</v>
          </cell>
          <cell r="F611">
            <v>44.423942565917969</v>
          </cell>
        </row>
        <row r="612">
          <cell r="A612">
            <v>43038</v>
          </cell>
          <cell r="B612">
            <v>99.825271606445313</v>
          </cell>
          <cell r="C612">
            <v>37.02899169921875</v>
          </cell>
          <cell r="D612">
            <v>178.88861083984381</v>
          </cell>
          <cell r="E612">
            <v>45.030559539794922</v>
          </cell>
          <cell r="F612">
            <v>44.497200012207031</v>
          </cell>
        </row>
        <row r="613">
          <cell r="A613">
            <v>43039</v>
          </cell>
          <cell r="B613">
            <v>101.45103454589839</v>
          </cell>
          <cell r="C613">
            <v>37.963691711425781</v>
          </cell>
          <cell r="D613">
            <v>179.07757568359381</v>
          </cell>
          <cell r="E613">
            <v>45.226020812988281</v>
          </cell>
          <cell r="F613">
            <v>41.525836944580078</v>
          </cell>
        </row>
        <row r="614">
          <cell r="A614">
            <v>43040</v>
          </cell>
          <cell r="B614">
            <v>101.0644073486328</v>
          </cell>
          <cell r="C614">
            <v>38.981838226318359</v>
          </cell>
          <cell r="D614">
            <v>181.66339111328119</v>
          </cell>
          <cell r="E614">
            <v>44.995014190673828</v>
          </cell>
          <cell r="F614">
            <v>43.520317077636719</v>
          </cell>
        </row>
        <row r="615">
          <cell r="A615">
            <v>43041</v>
          </cell>
          <cell r="B615">
            <v>101.70876312255859</v>
          </cell>
          <cell r="C615">
            <v>39.307315826416023</v>
          </cell>
          <cell r="D615">
            <v>177.94377136230469</v>
          </cell>
          <cell r="E615">
            <v>44.675144195556641</v>
          </cell>
          <cell r="F615">
            <v>44.643741607666023</v>
          </cell>
        </row>
        <row r="616">
          <cell r="A616">
            <v>43042</v>
          </cell>
          <cell r="B616">
            <v>101.81781005859381</v>
          </cell>
          <cell r="C616">
            <v>38.673053741455078</v>
          </cell>
          <cell r="D616">
            <v>177.94377136230469</v>
          </cell>
          <cell r="E616">
            <v>44.586288452148438</v>
          </cell>
          <cell r="F616">
            <v>50.317825317382813</v>
          </cell>
        </row>
        <row r="617">
          <cell r="A617">
            <v>43045</v>
          </cell>
          <cell r="B617">
            <v>101.53033447265619</v>
          </cell>
          <cell r="C617">
            <v>39.204460144042969</v>
          </cell>
          <cell r="D617">
            <v>179.18696594238281</v>
          </cell>
          <cell r="E617">
            <v>44.781764984130859</v>
          </cell>
          <cell r="F617">
            <v>50.895824432373047</v>
          </cell>
        </row>
        <row r="618">
          <cell r="A618">
            <v>43046</v>
          </cell>
          <cell r="B618">
            <v>101.8277282714844</v>
          </cell>
          <cell r="C618">
            <v>39.271621704101563</v>
          </cell>
          <cell r="D618">
            <v>179.26652526855469</v>
          </cell>
          <cell r="E618">
            <v>44.861732482910163</v>
          </cell>
          <cell r="F618">
            <v>52.182048797607422</v>
          </cell>
        </row>
        <row r="619">
          <cell r="A619">
            <v>43047</v>
          </cell>
          <cell r="B619">
            <v>104.1176681518555</v>
          </cell>
          <cell r="C619">
            <v>39.204460144042969</v>
          </cell>
          <cell r="D619">
            <v>178.5802917480469</v>
          </cell>
          <cell r="E619">
            <v>44.906158447265618</v>
          </cell>
          <cell r="F619">
            <v>53.313621520996087</v>
          </cell>
        </row>
        <row r="620">
          <cell r="A620">
            <v>43048</v>
          </cell>
          <cell r="B620">
            <v>102.700080871582</v>
          </cell>
          <cell r="C620">
            <v>38.868659973144531</v>
          </cell>
          <cell r="D620">
            <v>178.32171630859381</v>
          </cell>
          <cell r="E620">
            <v>43.751071929931641</v>
          </cell>
          <cell r="F620">
            <v>52.589080810546882</v>
          </cell>
        </row>
        <row r="621">
          <cell r="A621">
            <v>43049</v>
          </cell>
          <cell r="B621">
            <v>104.32582855224609</v>
          </cell>
          <cell r="C621">
            <v>38.264228820800781</v>
          </cell>
          <cell r="D621">
            <v>177.4862976074219</v>
          </cell>
          <cell r="E621">
            <v>43.822158813476563</v>
          </cell>
          <cell r="F621">
            <v>52.564659118652337</v>
          </cell>
        </row>
        <row r="622">
          <cell r="A622">
            <v>43052</v>
          </cell>
          <cell r="B622">
            <v>104.86114501953119</v>
          </cell>
          <cell r="C622">
            <v>38.406936645507813</v>
          </cell>
          <cell r="D622">
            <v>177.79460144042969</v>
          </cell>
          <cell r="E622">
            <v>43.893230438232422</v>
          </cell>
          <cell r="F622">
            <v>54.127681732177727</v>
          </cell>
        </row>
        <row r="623">
          <cell r="A623">
            <v>43053</v>
          </cell>
          <cell r="B623">
            <v>105.307243347168</v>
          </cell>
          <cell r="C623">
            <v>38.499286651611328</v>
          </cell>
          <cell r="D623">
            <v>177.09843444824219</v>
          </cell>
          <cell r="E623">
            <v>43.715538024902337</v>
          </cell>
          <cell r="F623">
            <v>53.728782653808587</v>
          </cell>
        </row>
        <row r="624">
          <cell r="A624">
            <v>43054</v>
          </cell>
          <cell r="B624">
            <v>104.5141906738281</v>
          </cell>
          <cell r="C624">
            <v>38.163490295410163</v>
          </cell>
          <cell r="D624">
            <v>176.97908020019531</v>
          </cell>
          <cell r="E624">
            <v>43.377887725830078</v>
          </cell>
          <cell r="F624">
            <v>53.411308288574219</v>
          </cell>
        </row>
        <row r="625">
          <cell r="A625">
            <v>43055</v>
          </cell>
          <cell r="B625">
            <v>106.1002883911133</v>
          </cell>
          <cell r="C625">
            <v>38.322986602783203</v>
          </cell>
          <cell r="D625">
            <v>178.61012268066409</v>
          </cell>
          <cell r="E625">
            <v>43.715538024902337</v>
          </cell>
          <cell r="F625">
            <v>53.818344116210938</v>
          </cell>
        </row>
        <row r="626">
          <cell r="A626">
            <v>43056</v>
          </cell>
          <cell r="B626">
            <v>106.6455154418945</v>
          </cell>
          <cell r="C626">
            <v>37.466697692871087</v>
          </cell>
          <cell r="D626">
            <v>178.02336120605469</v>
          </cell>
          <cell r="E626">
            <v>43.484504699707031</v>
          </cell>
          <cell r="F626">
            <v>54.314918518066413</v>
          </cell>
        </row>
        <row r="627">
          <cell r="A627">
            <v>43059</v>
          </cell>
          <cell r="B627">
            <v>106.4373474121094</v>
          </cell>
          <cell r="C627">
            <v>37.458320617675781</v>
          </cell>
          <cell r="D627">
            <v>177.76478576660159</v>
          </cell>
          <cell r="E627">
            <v>43.555587768554688</v>
          </cell>
          <cell r="F627">
            <v>54.111412048339837</v>
          </cell>
        </row>
        <row r="628">
          <cell r="A628">
            <v>43060</v>
          </cell>
          <cell r="B628">
            <v>107.85491943359381</v>
          </cell>
          <cell r="C628">
            <v>37.726947784423828</v>
          </cell>
          <cell r="D628">
            <v>180.86775207519531</v>
          </cell>
          <cell r="E628">
            <v>43.209075927734382</v>
          </cell>
          <cell r="F628">
            <v>54.274219512939453</v>
          </cell>
        </row>
        <row r="629">
          <cell r="A629">
            <v>43061</v>
          </cell>
          <cell r="B629">
            <v>105.9020309448242</v>
          </cell>
          <cell r="C629">
            <v>37.483505249023438</v>
          </cell>
          <cell r="D629">
            <v>179.8831481933594</v>
          </cell>
          <cell r="E629">
            <v>43.164627075195313</v>
          </cell>
          <cell r="F629">
            <v>55.462745666503913</v>
          </cell>
        </row>
        <row r="630">
          <cell r="A630">
            <v>43063</v>
          </cell>
          <cell r="B630">
            <v>106.21925354003911</v>
          </cell>
          <cell r="C630">
            <v>37.567447662353523</v>
          </cell>
          <cell r="D630">
            <v>181.78273010253909</v>
          </cell>
          <cell r="E630">
            <v>43.546707153320313</v>
          </cell>
          <cell r="F630">
            <v>56.097736358642578</v>
          </cell>
        </row>
        <row r="631">
          <cell r="A631">
            <v>43066</v>
          </cell>
          <cell r="B631">
            <v>105.6542129516602</v>
          </cell>
          <cell r="C631">
            <v>37.34918212890625</v>
          </cell>
          <cell r="D631">
            <v>182.0313720703125</v>
          </cell>
          <cell r="E631">
            <v>43.431201934814453</v>
          </cell>
          <cell r="F631">
            <v>55.470909118652337</v>
          </cell>
        </row>
        <row r="632">
          <cell r="A632">
            <v>43067</v>
          </cell>
          <cell r="B632">
            <v>105.5352401733398</v>
          </cell>
          <cell r="C632">
            <v>37.550647735595703</v>
          </cell>
          <cell r="D632">
            <v>181.42466735839841</v>
          </cell>
          <cell r="E632">
            <v>43.546707153320313</v>
          </cell>
          <cell r="F632">
            <v>56.135860443115227</v>
          </cell>
        </row>
        <row r="633">
          <cell r="A633">
            <v>43068</v>
          </cell>
          <cell r="B633">
            <v>102.6306915283203</v>
          </cell>
          <cell r="C633">
            <v>36.895851135253913</v>
          </cell>
          <cell r="D633">
            <v>174.17448425292969</v>
          </cell>
          <cell r="E633">
            <v>43.111335754394531</v>
          </cell>
          <cell r="F633">
            <v>54.608928680419922</v>
          </cell>
        </row>
        <row r="634">
          <cell r="A634">
            <v>43069</v>
          </cell>
          <cell r="B634">
            <v>103.41383361816411</v>
          </cell>
          <cell r="C634">
            <v>37.642997741699219</v>
          </cell>
          <cell r="D634">
            <v>176.21327209472659</v>
          </cell>
          <cell r="E634">
            <v>43.591133117675781</v>
          </cell>
          <cell r="F634">
            <v>54.461154937744141</v>
          </cell>
        </row>
        <row r="635">
          <cell r="A635">
            <v>43070</v>
          </cell>
          <cell r="B635">
            <v>102.92808532714839</v>
          </cell>
          <cell r="C635">
            <v>37.508678436279297</v>
          </cell>
          <cell r="D635">
            <v>174.14463806152341</v>
          </cell>
          <cell r="E635">
            <v>44.079830169677727</v>
          </cell>
          <cell r="F635">
            <v>53.763351440429688</v>
          </cell>
        </row>
        <row r="636">
          <cell r="A636">
            <v>43073</v>
          </cell>
          <cell r="B636">
            <v>98.982658386230469</v>
          </cell>
          <cell r="C636">
            <v>37.34918212890625</v>
          </cell>
          <cell r="D636">
            <v>170.53443908691409</v>
          </cell>
          <cell r="E636">
            <v>43.004707336425781</v>
          </cell>
          <cell r="F636">
            <v>52.9998779296875</v>
          </cell>
        </row>
        <row r="637">
          <cell r="A637">
            <v>43074</v>
          </cell>
          <cell r="B637">
            <v>99.815361022949219</v>
          </cell>
          <cell r="C637">
            <v>36.467708587646477</v>
          </cell>
          <cell r="D637">
            <v>171.88702392578119</v>
          </cell>
          <cell r="E637">
            <v>42.640407562255859</v>
          </cell>
          <cell r="F637">
            <v>53.106605529785163</v>
          </cell>
        </row>
        <row r="638">
          <cell r="A638">
            <v>43075</v>
          </cell>
          <cell r="B638">
            <v>102.025993347168</v>
          </cell>
          <cell r="C638">
            <v>36.476089477539063</v>
          </cell>
          <cell r="D638">
            <v>175.0993957519531</v>
          </cell>
          <cell r="E638">
            <v>43.022468566894531</v>
          </cell>
          <cell r="F638">
            <v>53.344669342041023</v>
          </cell>
        </row>
        <row r="639">
          <cell r="A639">
            <v>43076</v>
          </cell>
          <cell r="B639">
            <v>103.1660079956055</v>
          </cell>
          <cell r="C639">
            <v>36.165485382080078</v>
          </cell>
          <cell r="D639">
            <v>179.1571350097656</v>
          </cell>
          <cell r="E639">
            <v>43.111335754394531</v>
          </cell>
          <cell r="F639">
            <v>53.549907684326172</v>
          </cell>
        </row>
        <row r="640">
          <cell r="A640">
            <v>43077</v>
          </cell>
          <cell r="B640">
            <v>102.54148101806641</v>
          </cell>
          <cell r="C640">
            <v>36.39215087890625</v>
          </cell>
          <cell r="D640">
            <v>178.02336120605469</v>
          </cell>
          <cell r="E640">
            <v>44.070938110351563</v>
          </cell>
          <cell r="F640">
            <v>52.7371826171875</v>
          </cell>
        </row>
        <row r="641">
          <cell r="A641">
            <v>43080</v>
          </cell>
          <cell r="B641">
            <v>103.6319122314453</v>
          </cell>
          <cell r="C641">
            <v>36.65240478515625</v>
          </cell>
          <cell r="D641">
            <v>178.0631408691406</v>
          </cell>
          <cell r="E641">
            <v>44.843952178955078</v>
          </cell>
          <cell r="F641">
            <v>53.508865356445313</v>
          </cell>
        </row>
        <row r="642">
          <cell r="A642">
            <v>43081</v>
          </cell>
          <cell r="B642">
            <v>102.7694778442383</v>
          </cell>
          <cell r="C642">
            <v>36.375358581542969</v>
          </cell>
          <cell r="D642">
            <v>175.9944763183594</v>
          </cell>
          <cell r="E642">
            <v>44.772865295410163</v>
          </cell>
          <cell r="F642">
            <v>53.246162414550781</v>
          </cell>
        </row>
        <row r="643">
          <cell r="A643">
            <v>43082</v>
          </cell>
          <cell r="B643">
            <v>103.03713226318359</v>
          </cell>
          <cell r="C643">
            <v>36.383754730224609</v>
          </cell>
          <cell r="D643">
            <v>177.3271789550781</v>
          </cell>
          <cell r="E643">
            <v>44.470783233642578</v>
          </cell>
          <cell r="F643">
            <v>53.278999328613281</v>
          </cell>
        </row>
        <row r="644">
          <cell r="A644">
            <v>43083</v>
          </cell>
          <cell r="B644">
            <v>103.3345260620117</v>
          </cell>
          <cell r="C644">
            <v>36.316600799560547</v>
          </cell>
          <cell r="D644">
            <v>177.41668701171881</v>
          </cell>
          <cell r="E644">
            <v>44.595176696777337</v>
          </cell>
          <cell r="F644">
            <v>53.114814758300781</v>
          </cell>
        </row>
        <row r="645">
          <cell r="A645">
            <v>43084</v>
          </cell>
          <cell r="B645">
            <v>104.5637664794922</v>
          </cell>
          <cell r="C645">
            <v>37.407939910888672</v>
          </cell>
          <cell r="D645">
            <v>179.1968994140625</v>
          </cell>
          <cell r="E645">
            <v>42.915855407714837</v>
          </cell>
          <cell r="F645">
            <v>53.164066314697273</v>
          </cell>
        </row>
        <row r="646">
          <cell r="A646">
            <v>43087</v>
          </cell>
          <cell r="B646">
            <v>104.1672286987305</v>
          </cell>
          <cell r="C646">
            <v>38.8350830078125</v>
          </cell>
          <cell r="D646">
            <v>179.83345031738281</v>
          </cell>
          <cell r="E646">
            <v>42.391613006591797</v>
          </cell>
          <cell r="F646">
            <v>53.673038482666023</v>
          </cell>
        </row>
        <row r="647">
          <cell r="A647">
            <v>43088</v>
          </cell>
          <cell r="B647">
            <v>103.35435485839839</v>
          </cell>
          <cell r="C647">
            <v>39.489887237548828</v>
          </cell>
          <cell r="D647">
            <v>178.53056335449219</v>
          </cell>
          <cell r="E647">
            <v>42.489360809326172</v>
          </cell>
          <cell r="F647">
            <v>52.950630187988281</v>
          </cell>
        </row>
        <row r="648">
          <cell r="A648">
            <v>43089</v>
          </cell>
          <cell r="B648">
            <v>102.4919052124023</v>
          </cell>
          <cell r="C648">
            <v>39.926422119140618</v>
          </cell>
          <cell r="D648">
            <v>176.9194030761719</v>
          </cell>
          <cell r="E648">
            <v>42.560447692871087</v>
          </cell>
          <cell r="F648">
            <v>53.03271484375</v>
          </cell>
        </row>
        <row r="649">
          <cell r="A649">
            <v>43090</v>
          </cell>
          <cell r="B649">
            <v>102.7199172973633</v>
          </cell>
          <cell r="C649">
            <v>39.254829406738281</v>
          </cell>
          <cell r="D649">
            <v>176.48182678222659</v>
          </cell>
          <cell r="E649">
            <v>42.009555816650391</v>
          </cell>
          <cell r="F649">
            <v>52.860309600830078</v>
          </cell>
        </row>
        <row r="650">
          <cell r="A650">
            <v>43091</v>
          </cell>
          <cell r="B650">
            <v>101.73851013183589</v>
          </cell>
          <cell r="C650">
            <v>39.204460144042969</v>
          </cell>
          <cell r="D650">
            <v>176.23316955566409</v>
          </cell>
          <cell r="E650">
            <v>42.08062744140625</v>
          </cell>
          <cell r="F650">
            <v>53.139434814453118</v>
          </cell>
        </row>
        <row r="651">
          <cell r="A651">
            <v>43095</v>
          </cell>
          <cell r="B651">
            <v>101.6492919921875</v>
          </cell>
          <cell r="C651">
            <v>38.683975219726563</v>
          </cell>
          <cell r="D651">
            <v>175.02978515625</v>
          </cell>
          <cell r="E651">
            <v>42.142841339111328</v>
          </cell>
          <cell r="F651">
            <v>52.786434173583977</v>
          </cell>
        </row>
        <row r="652">
          <cell r="A652">
            <v>43096</v>
          </cell>
          <cell r="B652">
            <v>101.7583465576172</v>
          </cell>
          <cell r="C652">
            <v>38.709156036376953</v>
          </cell>
          <cell r="D652">
            <v>176.65087890625</v>
          </cell>
          <cell r="E652">
            <v>42.098411560058587</v>
          </cell>
          <cell r="F652">
            <v>52.98345947265625</v>
          </cell>
        </row>
        <row r="653">
          <cell r="A653">
            <v>43097</v>
          </cell>
          <cell r="B653">
            <v>101.89711761474609</v>
          </cell>
          <cell r="C653">
            <v>38.801498413085938</v>
          </cell>
          <cell r="D653">
            <v>176.94923400878909</v>
          </cell>
          <cell r="E653">
            <v>42.222801208496087</v>
          </cell>
          <cell r="F653">
            <v>52.852100372314453</v>
          </cell>
        </row>
        <row r="654">
          <cell r="A654">
            <v>43098</v>
          </cell>
          <cell r="B654">
            <v>101.3419876098633</v>
          </cell>
          <cell r="C654">
            <v>38.751129150390618</v>
          </cell>
          <cell r="D654">
            <v>175.4972229003906</v>
          </cell>
          <cell r="E654">
            <v>42.009555816650391</v>
          </cell>
          <cell r="F654">
            <v>52.556568145751953</v>
          </cell>
        </row>
        <row r="655">
          <cell r="A655">
            <v>43102</v>
          </cell>
          <cell r="B655">
            <v>103.503059387207</v>
          </cell>
          <cell r="C655">
            <v>39.33038330078125</v>
          </cell>
          <cell r="D655">
            <v>180.4301452636719</v>
          </cell>
          <cell r="E655">
            <v>41.432022094726563</v>
          </cell>
          <cell r="F655">
            <v>53.525279998779297</v>
          </cell>
        </row>
        <row r="656">
          <cell r="A656">
            <v>43103</v>
          </cell>
          <cell r="B656">
            <v>104.3754043579102</v>
          </cell>
          <cell r="C656">
            <v>37.995574951171882</v>
          </cell>
          <cell r="D656">
            <v>183.66241455078119</v>
          </cell>
          <cell r="E656">
            <v>42.391613006591797</v>
          </cell>
          <cell r="F656">
            <v>54.132774353027337</v>
          </cell>
        </row>
        <row r="657">
          <cell r="A657">
            <v>43104</v>
          </cell>
          <cell r="B657">
            <v>105.7533416748047</v>
          </cell>
          <cell r="C657">
            <v>37.298805236816413</v>
          </cell>
          <cell r="D657">
            <v>183.32426452636719</v>
          </cell>
          <cell r="E657">
            <v>42.809226989746087</v>
          </cell>
          <cell r="F657">
            <v>54.206649780273438</v>
          </cell>
        </row>
        <row r="658">
          <cell r="A658">
            <v>43105</v>
          </cell>
          <cell r="B658">
            <v>107.16099548339839</v>
          </cell>
          <cell r="C658">
            <v>37.559047698974609</v>
          </cell>
          <cell r="D658">
            <v>185.8305358886719</v>
          </cell>
          <cell r="E658">
            <v>43.066909790039063</v>
          </cell>
          <cell r="F658">
            <v>54.567874908447273</v>
          </cell>
        </row>
        <row r="659">
          <cell r="A659">
            <v>43108</v>
          </cell>
          <cell r="B659">
            <v>107.9143905639648</v>
          </cell>
          <cell r="C659">
            <v>37.559047698974609</v>
          </cell>
          <cell r="D659">
            <v>187.2527160644531</v>
          </cell>
          <cell r="E659">
            <v>43.520046234130859</v>
          </cell>
          <cell r="F659">
            <v>54.403682708740227</v>
          </cell>
        </row>
        <row r="660">
          <cell r="A660">
            <v>43109</v>
          </cell>
          <cell r="B660">
            <v>108.20188140869141</v>
          </cell>
          <cell r="C660">
            <v>36.618804931640618</v>
          </cell>
          <cell r="D660">
            <v>186.8449401855469</v>
          </cell>
          <cell r="E660">
            <v>43.760887145996087</v>
          </cell>
          <cell r="F660">
            <v>53.582744598388672</v>
          </cell>
        </row>
        <row r="661">
          <cell r="A661">
            <v>43110</v>
          </cell>
          <cell r="B661">
            <v>107.85491943359381</v>
          </cell>
          <cell r="C661">
            <v>35.678581237792969</v>
          </cell>
          <cell r="D661">
            <v>186.81510925292969</v>
          </cell>
          <cell r="E661">
            <v>43.528968811035163</v>
          </cell>
          <cell r="F661">
            <v>53.574539184570313</v>
          </cell>
        </row>
        <row r="662">
          <cell r="A662">
            <v>43111</v>
          </cell>
          <cell r="B662">
            <v>108.1523132324219</v>
          </cell>
          <cell r="C662">
            <v>36.442523956298828</v>
          </cell>
          <cell r="D662">
            <v>186.7455139160156</v>
          </cell>
          <cell r="E662">
            <v>43.66278076171875</v>
          </cell>
          <cell r="F662">
            <v>53.714099884033203</v>
          </cell>
        </row>
        <row r="663">
          <cell r="A663">
            <v>43112</v>
          </cell>
          <cell r="B663">
            <v>109.28240966796881</v>
          </cell>
          <cell r="C663">
            <v>36.299797058105469</v>
          </cell>
          <cell r="D663">
            <v>178.39131164550781</v>
          </cell>
          <cell r="E663">
            <v>44.162281036376953</v>
          </cell>
          <cell r="F663">
            <v>53.673038482666023</v>
          </cell>
        </row>
        <row r="664">
          <cell r="A664">
            <v>43116</v>
          </cell>
          <cell r="B664">
            <v>107.9441375732422</v>
          </cell>
          <cell r="C664">
            <v>36.215858459472663</v>
          </cell>
          <cell r="D664">
            <v>177.41668701171881</v>
          </cell>
          <cell r="E664">
            <v>44.233638763427727</v>
          </cell>
          <cell r="F664">
            <v>56.029144287109382</v>
          </cell>
        </row>
        <row r="665">
          <cell r="A665">
            <v>43117</v>
          </cell>
          <cell r="B665">
            <v>109.0841369628906</v>
          </cell>
          <cell r="C665">
            <v>37.265228271484382</v>
          </cell>
          <cell r="D665">
            <v>176.63099670410159</v>
          </cell>
          <cell r="E665">
            <v>44.840194702148438</v>
          </cell>
          <cell r="F665">
            <v>55.840316772460938</v>
          </cell>
        </row>
        <row r="666">
          <cell r="A666">
            <v>43118</v>
          </cell>
          <cell r="B666">
            <v>110.7991027832031</v>
          </cell>
          <cell r="C666">
            <v>37.340782165527337</v>
          </cell>
          <cell r="D666">
            <v>178.8190002441406</v>
          </cell>
          <cell r="E666">
            <v>44.80450439453125</v>
          </cell>
          <cell r="F666">
            <v>55.864963531494141</v>
          </cell>
        </row>
        <row r="667">
          <cell r="A667">
            <v>43119</v>
          </cell>
          <cell r="B667">
            <v>110.9577331542969</v>
          </cell>
          <cell r="C667">
            <v>37.626209259033203</v>
          </cell>
          <cell r="D667">
            <v>180.30082702636719</v>
          </cell>
          <cell r="E667">
            <v>45.116710662841797</v>
          </cell>
          <cell r="F667">
            <v>55.856754302978523</v>
          </cell>
        </row>
        <row r="668">
          <cell r="A668">
            <v>43122</v>
          </cell>
          <cell r="B668">
            <v>111.9093933105469</v>
          </cell>
          <cell r="C668">
            <v>38.406936645507813</v>
          </cell>
          <cell r="D668">
            <v>184.35859680175781</v>
          </cell>
          <cell r="E668">
            <v>45.232666015625</v>
          </cell>
          <cell r="F668">
            <v>56.373947143554688</v>
          </cell>
        </row>
        <row r="669">
          <cell r="A669">
            <v>43123</v>
          </cell>
          <cell r="B669">
            <v>112.2563400268555</v>
          </cell>
          <cell r="C669">
            <v>38.667186737060547</v>
          </cell>
          <cell r="D669">
            <v>188.31687927246091</v>
          </cell>
          <cell r="E669">
            <v>45.598377227783203</v>
          </cell>
          <cell r="F669">
            <v>56.103031158447273</v>
          </cell>
        </row>
        <row r="670">
          <cell r="A670">
            <v>43124</v>
          </cell>
          <cell r="B670">
            <v>111.86973571777339</v>
          </cell>
          <cell r="C670">
            <v>38.205459594726563</v>
          </cell>
          <cell r="D670">
            <v>185.53216552734381</v>
          </cell>
          <cell r="E670">
            <v>45.892742156982422</v>
          </cell>
          <cell r="F670">
            <v>55.807498931884773</v>
          </cell>
        </row>
        <row r="671">
          <cell r="A671">
            <v>43125</v>
          </cell>
          <cell r="B671">
            <v>110.9874649047852</v>
          </cell>
          <cell r="C671">
            <v>38.029167175292969</v>
          </cell>
          <cell r="D671">
            <v>186.45709228515619</v>
          </cell>
          <cell r="E671">
            <v>46.026535034179688</v>
          </cell>
          <cell r="F671">
            <v>55.347763061523438</v>
          </cell>
        </row>
        <row r="672">
          <cell r="A672">
            <v>43126</v>
          </cell>
          <cell r="B672">
            <v>112.7123565673828</v>
          </cell>
          <cell r="C672">
            <v>42.041954040527337</v>
          </cell>
          <cell r="D672">
            <v>188.96333312988281</v>
          </cell>
          <cell r="E672">
            <v>47.052314758300781</v>
          </cell>
          <cell r="F672">
            <v>56.259021759033203</v>
          </cell>
        </row>
        <row r="673">
          <cell r="A673">
            <v>43129</v>
          </cell>
          <cell r="B673">
            <v>112.3158340454102</v>
          </cell>
          <cell r="C673">
            <v>41.958003997802727</v>
          </cell>
          <cell r="D673">
            <v>184.96527099609381</v>
          </cell>
          <cell r="E673">
            <v>46.329811096191413</v>
          </cell>
          <cell r="F673">
            <v>55.265678405761719</v>
          </cell>
        </row>
        <row r="674">
          <cell r="A674">
            <v>43130</v>
          </cell>
          <cell r="B674">
            <v>111.255126953125</v>
          </cell>
          <cell r="C674">
            <v>40.959003448486328</v>
          </cell>
          <cell r="D674">
            <v>186.09906005859381</v>
          </cell>
          <cell r="E674">
            <v>45.455661773681641</v>
          </cell>
          <cell r="F674">
            <v>54.9947509765625</v>
          </cell>
        </row>
        <row r="675">
          <cell r="A675">
            <v>43131</v>
          </cell>
          <cell r="B675">
            <v>112.920524597168</v>
          </cell>
          <cell r="C675">
            <v>40.413341522216797</v>
          </cell>
          <cell r="D675">
            <v>185.87030029296881</v>
          </cell>
          <cell r="E675">
            <v>46.017623901367188</v>
          </cell>
          <cell r="F675">
            <v>56.029144287109382</v>
          </cell>
        </row>
        <row r="676">
          <cell r="A676">
            <v>43132</v>
          </cell>
          <cell r="B676">
            <v>111.7606887817383</v>
          </cell>
          <cell r="C676">
            <v>40.001987457275391</v>
          </cell>
          <cell r="D676">
            <v>192.0364685058594</v>
          </cell>
          <cell r="E676">
            <v>46.053298950195313</v>
          </cell>
          <cell r="F676">
            <v>54.838771820068359</v>
          </cell>
        </row>
        <row r="677">
          <cell r="A677">
            <v>43133</v>
          </cell>
          <cell r="B677">
            <v>109.8177108764648</v>
          </cell>
          <cell r="C677">
            <v>38.74273681640625</v>
          </cell>
          <cell r="D677">
            <v>189.2417907714844</v>
          </cell>
          <cell r="E677">
            <v>44.715309143066413</v>
          </cell>
          <cell r="F677">
            <v>54.239494323730469</v>
          </cell>
        </row>
        <row r="678">
          <cell r="A678">
            <v>43136</v>
          </cell>
          <cell r="B678">
            <v>106.7149124145508</v>
          </cell>
          <cell r="C678">
            <v>37.374362945556641</v>
          </cell>
          <cell r="D678">
            <v>180.27101135253909</v>
          </cell>
          <cell r="E678">
            <v>42.895664215087891</v>
          </cell>
          <cell r="F678">
            <v>50.676612854003913</v>
          </cell>
        </row>
        <row r="679">
          <cell r="A679">
            <v>43137</v>
          </cell>
          <cell r="B679">
            <v>108.61822509765619</v>
          </cell>
          <cell r="C679">
            <v>37.957546234130859</v>
          </cell>
          <cell r="D679">
            <v>184.2989196777344</v>
          </cell>
          <cell r="E679">
            <v>44.064167022705078</v>
          </cell>
          <cell r="F679">
            <v>52.8685302734375</v>
          </cell>
        </row>
        <row r="680">
          <cell r="A680">
            <v>43138</v>
          </cell>
          <cell r="B680">
            <v>109.09405517578119</v>
          </cell>
          <cell r="C680">
            <v>38.202640533447273</v>
          </cell>
          <cell r="D680">
            <v>179.1968994140625</v>
          </cell>
          <cell r="E680">
            <v>43.591407775878913</v>
          </cell>
          <cell r="F680">
            <v>53.393928527832031</v>
          </cell>
        </row>
        <row r="681">
          <cell r="A681">
            <v>43139</v>
          </cell>
          <cell r="B681">
            <v>103.126350402832</v>
          </cell>
          <cell r="C681">
            <v>36.131931304931641</v>
          </cell>
          <cell r="D681">
            <v>170.6438293457031</v>
          </cell>
          <cell r="E681">
            <v>41.780677795410163</v>
          </cell>
          <cell r="F681">
            <v>51.243072509765618</v>
          </cell>
        </row>
        <row r="682">
          <cell r="A682">
            <v>43140</v>
          </cell>
          <cell r="B682">
            <v>106.05072021484381</v>
          </cell>
          <cell r="C682">
            <v>37.146167755126953</v>
          </cell>
          <cell r="D682">
            <v>175.14910888671881</v>
          </cell>
          <cell r="E682">
            <v>42.574546813964837</v>
          </cell>
          <cell r="F682">
            <v>52.531944274902337</v>
          </cell>
        </row>
        <row r="683">
          <cell r="A683">
            <v>43143</v>
          </cell>
          <cell r="B683">
            <v>107.6070938110352</v>
          </cell>
          <cell r="C683">
            <v>37.889930725097663</v>
          </cell>
          <cell r="D683">
            <v>175.44746398925781</v>
          </cell>
          <cell r="E683">
            <v>42.949176788330078</v>
          </cell>
          <cell r="F683">
            <v>53.902919769287109</v>
          </cell>
        </row>
        <row r="684">
          <cell r="A684">
            <v>43144</v>
          </cell>
          <cell r="B684">
            <v>106.7545623779297</v>
          </cell>
          <cell r="C684">
            <v>37.577198028564453</v>
          </cell>
          <cell r="D684">
            <v>172.20527648925781</v>
          </cell>
          <cell r="E684">
            <v>43.252460479736328</v>
          </cell>
          <cell r="F684">
            <v>53.935745239257813</v>
          </cell>
        </row>
        <row r="685">
          <cell r="A685">
            <v>43145</v>
          </cell>
          <cell r="B685">
            <v>108.072998046875</v>
          </cell>
          <cell r="C685">
            <v>38.354774475097663</v>
          </cell>
          <cell r="D685">
            <v>178.54052734375</v>
          </cell>
          <cell r="E685">
            <v>44.108760833740227</v>
          </cell>
          <cell r="F685">
            <v>54.666389465332031</v>
          </cell>
        </row>
        <row r="686">
          <cell r="A686">
            <v>43146</v>
          </cell>
          <cell r="B686">
            <v>112.1373977661133</v>
          </cell>
          <cell r="C686">
            <v>38.811191558837891</v>
          </cell>
          <cell r="D686">
            <v>178.97810363769531</v>
          </cell>
          <cell r="E686">
            <v>45.170230865478523</v>
          </cell>
          <cell r="F686">
            <v>53.590953826904297</v>
          </cell>
        </row>
        <row r="687">
          <cell r="A687">
            <v>43147</v>
          </cell>
          <cell r="B687">
            <v>111.87965393066411</v>
          </cell>
          <cell r="C687">
            <v>38.506919860839837</v>
          </cell>
          <cell r="D687">
            <v>176.39227294921881</v>
          </cell>
          <cell r="E687">
            <v>45.232666015625</v>
          </cell>
          <cell r="F687">
            <v>53.237949371337891</v>
          </cell>
        </row>
        <row r="688">
          <cell r="A688">
            <v>43151</v>
          </cell>
          <cell r="B688">
            <v>113.3566970825195</v>
          </cell>
          <cell r="C688">
            <v>39.149253845214837</v>
          </cell>
          <cell r="D688">
            <v>175.04966735839841</v>
          </cell>
          <cell r="E688">
            <v>44.501232147216797</v>
          </cell>
          <cell r="F688">
            <v>52.531944274902337</v>
          </cell>
        </row>
        <row r="689">
          <cell r="A689">
            <v>43152</v>
          </cell>
          <cell r="B689">
            <v>113.4855880737305</v>
          </cell>
          <cell r="C689">
            <v>38.828083038330078</v>
          </cell>
          <cell r="D689">
            <v>176.9393005371094</v>
          </cell>
          <cell r="E689">
            <v>44.090927124023438</v>
          </cell>
          <cell r="F689">
            <v>52.047584533691413</v>
          </cell>
        </row>
        <row r="690">
          <cell r="A690">
            <v>43153</v>
          </cell>
          <cell r="B690">
            <v>112.0184326171875</v>
          </cell>
          <cell r="C690">
            <v>38.709762573242188</v>
          </cell>
          <cell r="D690">
            <v>178.01341247558591</v>
          </cell>
          <cell r="E690">
            <v>44.233638763427727</v>
          </cell>
          <cell r="F690">
            <v>51.046051025390618</v>
          </cell>
        </row>
        <row r="691">
          <cell r="A691">
            <v>43154</v>
          </cell>
          <cell r="B691">
            <v>113.96141052246089</v>
          </cell>
          <cell r="C691">
            <v>40.340980529785163</v>
          </cell>
          <cell r="D691">
            <v>182.28996276855469</v>
          </cell>
          <cell r="E691">
            <v>45.045352935791023</v>
          </cell>
          <cell r="F691">
            <v>51.981918334960938</v>
          </cell>
        </row>
        <row r="692">
          <cell r="A692">
            <v>43157</v>
          </cell>
          <cell r="B692">
            <v>115.6367263793945</v>
          </cell>
          <cell r="C692">
            <v>41.507347106933587</v>
          </cell>
          <cell r="D692">
            <v>183.9209899902344</v>
          </cell>
          <cell r="E692">
            <v>45.642974853515618</v>
          </cell>
          <cell r="F692">
            <v>54.986564636230469</v>
          </cell>
        </row>
        <row r="693">
          <cell r="A693">
            <v>43158</v>
          </cell>
          <cell r="B693">
            <v>115.4582901000977</v>
          </cell>
          <cell r="C693">
            <v>42.183498382568359</v>
          </cell>
          <cell r="D693">
            <v>180.4699401855469</v>
          </cell>
          <cell r="E693">
            <v>45.250511169433587</v>
          </cell>
          <cell r="F693">
            <v>54.928596496582031</v>
          </cell>
        </row>
        <row r="694">
          <cell r="A694">
            <v>43159</v>
          </cell>
          <cell r="B694">
            <v>115.2401962280273</v>
          </cell>
          <cell r="C694">
            <v>41.659488677978523</v>
          </cell>
          <cell r="D694">
            <v>177.34706115722659</v>
          </cell>
          <cell r="E694">
            <v>45.196994781494141</v>
          </cell>
          <cell r="F694">
            <v>53.819095611572273</v>
          </cell>
        </row>
        <row r="695">
          <cell r="A695">
            <v>43160</v>
          </cell>
          <cell r="B695">
            <v>118.3925704956055</v>
          </cell>
          <cell r="C695">
            <v>40.433956146240227</v>
          </cell>
          <cell r="D695">
            <v>174.98005676269531</v>
          </cell>
          <cell r="E695">
            <v>44.340679168701172</v>
          </cell>
          <cell r="F695">
            <v>53.785972595214837</v>
          </cell>
        </row>
        <row r="696">
          <cell r="A696">
            <v>43161</v>
          </cell>
          <cell r="B696">
            <v>120.86094665527339</v>
          </cell>
          <cell r="C696">
            <v>41.397472381591797</v>
          </cell>
          <cell r="D696">
            <v>175.65632629394531</v>
          </cell>
          <cell r="E696">
            <v>44.884792327880859</v>
          </cell>
          <cell r="F696">
            <v>53.603816986083977</v>
          </cell>
        </row>
        <row r="697">
          <cell r="A697">
            <v>43164</v>
          </cell>
          <cell r="B697">
            <v>121.43589782714839</v>
          </cell>
          <cell r="C697">
            <v>42.048263549804688</v>
          </cell>
          <cell r="D697">
            <v>179.41571044921881</v>
          </cell>
          <cell r="E697">
            <v>45.750015258789063</v>
          </cell>
          <cell r="F697">
            <v>52.9993896484375</v>
          </cell>
        </row>
        <row r="698">
          <cell r="A698">
            <v>43165</v>
          </cell>
          <cell r="B698">
            <v>123.3987197875977</v>
          </cell>
          <cell r="C698">
            <v>42.859653472900391</v>
          </cell>
          <cell r="D698">
            <v>178.79908752441409</v>
          </cell>
          <cell r="E698">
            <v>45.937339782714837</v>
          </cell>
          <cell r="F698">
            <v>51.451045989990227</v>
          </cell>
        </row>
        <row r="699">
          <cell r="A699">
            <v>43166</v>
          </cell>
          <cell r="B699">
            <v>124.2413330078125</v>
          </cell>
          <cell r="C699">
            <v>43.375209808349609</v>
          </cell>
          <cell r="D699">
            <v>182.7076416015625</v>
          </cell>
          <cell r="E699">
            <v>46.133579254150391</v>
          </cell>
          <cell r="F699">
            <v>51.740848541259773</v>
          </cell>
        </row>
        <row r="700">
          <cell r="A700">
            <v>43167</v>
          </cell>
          <cell r="B700">
            <v>125.2623825073242</v>
          </cell>
          <cell r="C700">
            <v>42.885005950927727</v>
          </cell>
          <cell r="D700">
            <v>181.3451232910156</v>
          </cell>
          <cell r="E700">
            <v>46.499298095703118</v>
          </cell>
          <cell r="F700">
            <v>51.186107635498047</v>
          </cell>
        </row>
        <row r="701">
          <cell r="A701">
            <v>43168</v>
          </cell>
          <cell r="B701">
            <v>126.3032608032227</v>
          </cell>
          <cell r="C701">
            <v>44.11053466796875</v>
          </cell>
          <cell r="D701">
            <v>184.2193603515625</v>
          </cell>
          <cell r="E701">
            <v>47.248558044433587</v>
          </cell>
          <cell r="F701">
            <v>52.187965393066413</v>
          </cell>
        </row>
        <row r="702">
          <cell r="A702">
            <v>43171</v>
          </cell>
          <cell r="B702">
            <v>125.67873382568359</v>
          </cell>
          <cell r="C702">
            <v>43.544258117675781</v>
          </cell>
          <cell r="D702">
            <v>183.7519226074219</v>
          </cell>
          <cell r="E702">
            <v>47.186119079589837</v>
          </cell>
          <cell r="F702">
            <v>52.005809783935547</v>
          </cell>
        </row>
        <row r="703">
          <cell r="A703">
            <v>43172</v>
          </cell>
          <cell r="B703">
            <v>125.62917327880859</v>
          </cell>
          <cell r="C703">
            <v>43.764003753662109</v>
          </cell>
          <cell r="D703">
            <v>180.8876647949219</v>
          </cell>
          <cell r="E703">
            <v>46.900691986083977</v>
          </cell>
          <cell r="F703">
            <v>49.430763244628913</v>
          </cell>
        </row>
        <row r="704">
          <cell r="A704">
            <v>43173</v>
          </cell>
          <cell r="B704">
            <v>126.8782272338867</v>
          </cell>
          <cell r="C704">
            <v>43.831626892089837</v>
          </cell>
          <cell r="D704">
            <v>183.1850280761719</v>
          </cell>
          <cell r="E704">
            <v>46.668769836425781</v>
          </cell>
          <cell r="F704">
            <v>49.778522491455078</v>
          </cell>
        </row>
        <row r="705">
          <cell r="A705">
            <v>43174</v>
          </cell>
          <cell r="B705">
            <v>126.1149139404297</v>
          </cell>
          <cell r="C705">
            <v>43.003334045410163</v>
          </cell>
          <cell r="D705">
            <v>182.8568420410156</v>
          </cell>
          <cell r="E705">
            <v>46.713359832763672</v>
          </cell>
          <cell r="F705">
            <v>49.588085174560547</v>
          </cell>
        </row>
        <row r="706">
          <cell r="A706">
            <v>43175</v>
          </cell>
          <cell r="B706">
            <v>124.8757705688477</v>
          </cell>
          <cell r="C706">
            <v>43.248439788818359</v>
          </cell>
          <cell r="D706">
            <v>184.08012390136719</v>
          </cell>
          <cell r="E706">
            <v>46.624168395996087</v>
          </cell>
          <cell r="F706">
            <v>50.192508697509773</v>
          </cell>
        </row>
        <row r="707">
          <cell r="A707">
            <v>43178</v>
          </cell>
          <cell r="B707">
            <v>123.8943710327148</v>
          </cell>
          <cell r="C707">
            <v>42.961074829101563</v>
          </cell>
          <cell r="D707">
            <v>171.61846923828119</v>
          </cell>
          <cell r="E707">
            <v>46.338722229003913</v>
          </cell>
          <cell r="F707">
            <v>48.329536437988281</v>
          </cell>
        </row>
        <row r="708">
          <cell r="A708">
            <v>43179</v>
          </cell>
          <cell r="B708">
            <v>124.0331573486328</v>
          </cell>
          <cell r="C708">
            <v>43.569614410400391</v>
          </cell>
          <cell r="D708">
            <v>167.23252868652341</v>
          </cell>
          <cell r="E708">
            <v>41.968009948730469</v>
          </cell>
          <cell r="F708">
            <v>48.238468170166023</v>
          </cell>
        </row>
        <row r="709">
          <cell r="A709">
            <v>43180</v>
          </cell>
          <cell r="B709">
            <v>120.6428680419922</v>
          </cell>
          <cell r="C709">
            <v>43.578048706054688</v>
          </cell>
          <cell r="D709">
            <v>168.4657897949219</v>
          </cell>
          <cell r="E709">
            <v>41.941234588623047</v>
          </cell>
          <cell r="F709">
            <v>47.037883758544922</v>
          </cell>
        </row>
        <row r="710">
          <cell r="A710">
            <v>43181</v>
          </cell>
          <cell r="B710">
            <v>117.0146484375</v>
          </cell>
          <cell r="C710">
            <v>42.961074829101563</v>
          </cell>
          <cell r="D710">
            <v>163.99034118652341</v>
          </cell>
          <cell r="E710">
            <v>40.933277130126953</v>
          </cell>
          <cell r="F710">
            <v>46.019454956054688</v>
          </cell>
        </row>
        <row r="711">
          <cell r="A711">
            <v>43182</v>
          </cell>
          <cell r="B711">
            <v>113.43601226806641</v>
          </cell>
          <cell r="C711">
            <v>41.718631744384773</v>
          </cell>
          <cell r="D711">
            <v>158.52033996582031</v>
          </cell>
          <cell r="E711">
            <v>39.952110290527337</v>
          </cell>
          <cell r="F711">
            <v>44.429729461669922</v>
          </cell>
        </row>
        <row r="712">
          <cell r="A712">
            <v>43185</v>
          </cell>
          <cell r="B712">
            <v>117.93658447265619</v>
          </cell>
          <cell r="C712">
            <v>44.355640411376953</v>
          </cell>
          <cell r="D712">
            <v>159.18669128417969</v>
          </cell>
          <cell r="E712">
            <v>41.459556579589837</v>
          </cell>
          <cell r="F712">
            <v>46.474857330322273</v>
          </cell>
        </row>
        <row r="713">
          <cell r="A713">
            <v>43186</v>
          </cell>
          <cell r="B713">
            <v>112.82139587402339</v>
          </cell>
          <cell r="C713">
            <v>43.265331268310547</v>
          </cell>
          <cell r="D713">
            <v>151.38946533203119</v>
          </cell>
          <cell r="E713">
            <v>40.478385925292969</v>
          </cell>
          <cell r="F713">
            <v>45.406753540039063</v>
          </cell>
        </row>
        <row r="714">
          <cell r="A714">
            <v>43187</v>
          </cell>
          <cell r="B714">
            <v>111.89947509765619</v>
          </cell>
          <cell r="C714">
            <v>41.921482086181641</v>
          </cell>
          <cell r="D714">
            <v>152.1950378417969</v>
          </cell>
          <cell r="E714">
            <v>40.121578216552727</v>
          </cell>
          <cell r="F714">
            <v>45.29083251953125</v>
          </cell>
        </row>
        <row r="715">
          <cell r="A715">
            <v>43188</v>
          </cell>
          <cell r="B715">
            <v>115.2897644042969</v>
          </cell>
          <cell r="C715">
            <v>44.017566680908203</v>
          </cell>
          <cell r="D715">
            <v>158.91816711425781</v>
          </cell>
          <cell r="E715">
            <v>40.808418273925781</v>
          </cell>
          <cell r="F715">
            <v>45.878700256347663</v>
          </cell>
        </row>
        <row r="716">
          <cell r="A716">
            <v>43192</v>
          </cell>
          <cell r="B716">
            <v>114.298454284668</v>
          </cell>
          <cell r="C716">
            <v>41.346752166748047</v>
          </cell>
          <cell r="D716">
            <v>154.54216003417969</v>
          </cell>
          <cell r="E716">
            <v>40.148326873779297</v>
          </cell>
          <cell r="F716">
            <v>44.553916931152337</v>
          </cell>
        </row>
        <row r="717">
          <cell r="A717">
            <v>43193</v>
          </cell>
          <cell r="B717">
            <v>115.4781112670898</v>
          </cell>
          <cell r="C717">
            <v>42.048263549804688</v>
          </cell>
          <cell r="D717">
            <v>155.25823974609381</v>
          </cell>
          <cell r="E717">
            <v>40.041294097900391</v>
          </cell>
          <cell r="F717">
            <v>45.357078552246087</v>
          </cell>
        </row>
        <row r="718">
          <cell r="A718">
            <v>43194</v>
          </cell>
          <cell r="B718">
            <v>118.4421463012695</v>
          </cell>
          <cell r="C718">
            <v>42.251110076904297</v>
          </cell>
          <cell r="D718">
            <v>154.2537536621094</v>
          </cell>
          <cell r="E718">
            <v>40.594333648681641</v>
          </cell>
          <cell r="F718">
            <v>45.530948638916023</v>
          </cell>
        </row>
        <row r="719">
          <cell r="A719">
            <v>43195</v>
          </cell>
          <cell r="B719">
            <v>118.00596618652339</v>
          </cell>
          <cell r="C719">
            <v>42.580734252929688</v>
          </cell>
          <cell r="D719">
            <v>158.47062683105469</v>
          </cell>
          <cell r="E719">
            <v>40.995735168457031</v>
          </cell>
          <cell r="F719">
            <v>45.572353363037109</v>
          </cell>
        </row>
        <row r="720">
          <cell r="A720">
            <v>43196</v>
          </cell>
          <cell r="B720">
            <v>115.0914993286133</v>
          </cell>
          <cell r="C720">
            <v>41.236881256103523</v>
          </cell>
          <cell r="D720">
            <v>156.34228515625</v>
          </cell>
          <cell r="E720">
            <v>39.987785339355469</v>
          </cell>
          <cell r="F720">
            <v>43.982624053955078</v>
          </cell>
        </row>
        <row r="721">
          <cell r="A721">
            <v>43199</v>
          </cell>
          <cell r="B721">
            <v>116.1720428466797</v>
          </cell>
          <cell r="C721">
            <v>41.879234313964837</v>
          </cell>
          <cell r="D721">
            <v>157.06829833984381</v>
          </cell>
          <cell r="E721">
            <v>40.05023193359375</v>
          </cell>
          <cell r="F721">
            <v>44.239292144775391</v>
          </cell>
        </row>
        <row r="722">
          <cell r="A722">
            <v>43200</v>
          </cell>
          <cell r="B722">
            <v>118.4520568847656</v>
          </cell>
          <cell r="C722">
            <v>43.332954406738281</v>
          </cell>
          <cell r="D722">
            <v>164.13951110839841</v>
          </cell>
          <cell r="E722">
            <v>40.870853424072273</v>
          </cell>
          <cell r="F722">
            <v>45.348785400390618</v>
          </cell>
        </row>
        <row r="723">
          <cell r="A723">
            <v>43201</v>
          </cell>
          <cell r="B723">
            <v>118.12493896484381</v>
          </cell>
          <cell r="C723">
            <v>43.189277648925781</v>
          </cell>
          <cell r="D723">
            <v>165.41255187988281</v>
          </cell>
          <cell r="E723">
            <v>40.683528900146477</v>
          </cell>
          <cell r="F723">
            <v>45.547512054443359</v>
          </cell>
        </row>
        <row r="724">
          <cell r="A724">
            <v>43202</v>
          </cell>
          <cell r="B724">
            <v>120.34548187255859</v>
          </cell>
          <cell r="C724">
            <v>44.558490753173828</v>
          </cell>
          <cell r="D724">
            <v>162.97589111328119</v>
          </cell>
          <cell r="E724">
            <v>40.924362182617188</v>
          </cell>
          <cell r="F724">
            <v>45.704833984375</v>
          </cell>
        </row>
        <row r="725">
          <cell r="A725">
            <v>43203</v>
          </cell>
          <cell r="B725">
            <v>117.9762268066406</v>
          </cell>
          <cell r="C725">
            <v>43.831626892089837</v>
          </cell>
          <cell r="D725">
            <v>163.62232971191409</v>
          </cell>
          <cell r="E725">
            <v>41.102779388427727</v>
          </cell>
          <cell r="F725">
            <v>46.143669128417969</v>
          </cell>
        </row>
        <row r="726">
          <cell r="A726">
            <v>43206</v>
          </cell>
          <cell r="B726">
            <v>118.3727493286133</v>
          </cell>
          <cell r="C726">
            <v>44.288032531738281</v>
          </cell>
          <cell r="D726">
            <v>163.9306640625</v>
          </cell>
          <cell r="E726">
            <v>41.246082305908203</v>
          </cell>
          <cell r="F726">
            <v>45.348785400390618</v>
          </cell>
        </row>
        <row r="727">
          <cell r="A727">
            <v>43207</v>
          </cell>
          <cell r="B727">
            <v>122.2785263061523</v>
          </cell>
          <cell r="C727">
            <v>45.251552581787109</v>
          </cell>
          <cell r="D727">
            <v>167.73976135253909</v>
          </cell>
          <cell r="E727">
            <v>41.792453765869141</v>
          </cell>
          <cell r="F727">
            <v>45.829029083251953</v>
          </cell>
        </row>
        <row r="728">
          <cell r="A728">
            <v>43208</v>
          </cell>
          <cell r="B728">
            <v>123.37888336181641</v>
          </cell>
          <cell r="C728">
            <v>45.310703277587891</v>
          </cell>
          <cell r="D728">
            <v>165.45231628417969</v>
          </cell>
          <cell r="E728">
            <v>42.168624877929688</v>
          </cell>
          <cell r="F728">
            <v>45.729663848876953</v>
          </cell>
        </row>
        <row r="729">
          <cell r="A729">
            <v>43209</v>
          </cell>
          <cell r="B729">
            <v>122.98236083984381</v>
          </cell>
          <cell r="C729">
            <v>44.135890960693359</v>
          </cell>
          <cell r="D729">
            <v>167.1828308105469</v>
          </cell>
          <cell r="E729">
            <v>41.935752868652337</v>
          </cell>
          <cell r="F729">
            <v>43.527225494384773</v>
          </cell>
        </row>
        <row r="730">
          <cell r="A730">
            <v>43210</v>
          </cell>
          <cell r="B730">
            <v>121.7531356811523</v>
          </cell>
          <cell r="C730">
            <v>43.552707672119141</v>
          </cell>
          <cell r="D730">
            <v>165.37275695800781</v>
          </cell>
          <cell r="E730">
            <v>41.407299041748047</v>
          </cell>
          <cell r="F730">
            <v>42.591602325439453</v>
          </cell>
        </row>
        <row r="731">
          <cell r="A731">
            <v>43213</v>
          </cell>
          <cell r="B731">
            <v>120.8312072753906</v>
          </cell>
          <cell r="C731">
            <v>43.189277648925781</v>
          </cell>
          <cell r="D731">
            <v>164.93516540527341</v>
          </cell>
          <cell r="E731">
            <v>41.02215576171875</v>
          </cell>
          <cell r="F731">
            <v>41.838138580322273</v>
          </cell>
        </row>
        <row r="732">
          <cell r="A732">
            <v>43214</v>
          </cell>
          <cell r="B732">
            <v>116.8560409545898</v>
          </cell>
          <cell r="C732">
            <v>43.485103607177727</v>
          </cell>
          <cell r="D732">
            <v>158.8187255859375</v>
          </cell>
          <cell r="E732">
            <v>40.780323028564453</v>
          </cell>
          <cell r="F732">
            <v>41.349617004394531</v>
          </cell>
        </row>
        <row r="733">
          <cell r="A733">
            <v>43215</v>
          </cell>
          <cell r="B733">
            <v>116.3009033203125</v>
          </cell>
          <cell r="C733">
            <v>43.425930023193359</v>
          </cell>
          <cell r="D733">
            <v>158.8187255859375</v>
          </cell>
          <cell r="E733">
            <v>40.977382659912109</v>
          </cell>
          <cell r="F733">
            <v>41.192298889160163</v>
          </cell>
        </row>
        <row r="734">
          <cell r="A734">
            <v>43216</v>
          </cell>
          <cell r="B734">
            <v>119.78041839599609</v>
          </cell>
          <cell r="C734">
            <v>44.837394714355469</v>
          </cell>
          <cell r="D734">
            <v>173.20977783203119</v>
          </cell>
          <cell r="E734">
            <v>41.165470123291023</v>
          </cell>
          <cell r="F734">
            <v>41.788463592529297</v>
          </cell>
        </row>
        <row r="735">
          <cell r="A735">
            <v>43217</v>
          </cell>
          <cell r="B735">
            <v>119.17572021484381</v>
          </cell>
          <cell r="C735">
            <v>44.566944122314453</v>
          </cell>
          <cell r="D735">
            <v>172.64283752441409</v>
          </cell>
          <cell r="E735">
            <v>40.780323028564453</v>
          </cell>
          <cell r="F735">
            <v>42.318363189697273</v>
          </cell>
        </row>
        <row r="736">
          <cell r="A736">
            <v>43220</v>
          </cell>
          <cell r="B736">
            <v>119.93902587890619</v>
          </cell>
          <cell r="C736">
            <v>43.628772735595703</v>
          </cell>
          <cell r="D736">
            <v>171.0615234375</v>
          </cell>
          <cell r="E736">
            <v>40.905715942382813</v>
          </cell>
          <cell r="F736">
            <v>42.235576629638672</v>
          </cell>
        </row>
        <row r="737">
          <cell r="A737">
            <v>43221</v>
          </cell>
          <cell r="B737">
            <v>122.0406112670898</v>
          </cell>
          <cell r="C737">
            <v>45.074054718017578</v>
          </cell>
          <cell r="D737">
            <v>172.9114074707031</v>
          </cell>
          <cell r="E737">
            <v>41.156517028808587</v>
          </cell>
          <cell r="F737">
            <v>42.078235626220703</v>
          </cell>
        </row>
        <row r="738">
          <cell r="A738">
            <v>43222</v>
          </cell>
          <cell r="B738">
            <v>121.7531356811523</v>
          </cell>
          <cell r="C738">
            <v>44.211956024169922</v>
          </cell>
          <cell r="D738">
            <v>175.1093444824219</v>
          </cell>
          <cell r="E738">
            <v>40.762405395507813</v>
          </cell>
          <cell r="F738">
            <v>41.614582061767578</v>
          </cell>
        </row>
        <row r="739">
          <cell r="A739">
            <v>43223</v>
          </cell>
          <cell r="B739">
            <v>123.32933044433589</v>
          </cell>
          <cell r="C739">
            <v>44.186595916748047</v>
          </cell>
          <cell r="D739">
            <v>173.0705261230469</v>
          </cell>
          <cell r="E739">
            <v>40.359352111816413</v>
          </cell>
          <cell r="F739">
            <v>41.655979156494141</v>
          </cell>
        </row>
        <row r="740">
          <cell r="A740">
            <v>43224</v>
          </cell>
          <cell r="B740">
            <v>124.0331573486328</v>
          </cell>
          <cell r="C740">
            <v>44.866653442382813</v>
          </cell>
          <cell r="D740">
            <v>175.6463928222656</v>
          </cell>
          <cell r="E740">
            <v>40.941539764404297</v>
          </cell>
          <cell r="F740">
            <v>43.460987091064453</v>
          </cell>
        </row>
        <row r="741">
          <cell r="A741">
            <v>43227</v>
          </cell>
          <cell r="B741">
            <v>125.86708831787109</v>
          </cell>
          <cell r="C741">
            <v>45.334201812744141</v>
          </cell>
          <cell r="D741">
            <v>176.99897766113281</v>
          </cell>
          <cell r="E741">
            <v>41.263984680175781</v>
          </cell>
          <cell r="F741">
            <v>43.891536712646477</v>
          </cell>
        </row>
        <row r="742">
          <cell r="A742">
            <v>43228</v>
          </cell>
          <cell r="B742">
            <v>127.6316223144531</v>
          </cell>
          <cell r="C742">
            <v>45.589214324951172</v>
          </cell>
          <cell r="D742">
            <v>177.94377136230469</v>
          </cell>
          <cell r="E742">
            <v>41.147556304931641</v>
          </cell>
          <cell r="F742">
            <v>43.767341613769531</v>
          </cell>
        </row>
        <row r="743">
          <cell r="A743">
            <v>43229</v>
          </cell>
          <cell r="B743">
            <v>128.60310363769531</v>
          </cell>
          <cell r="C743">
            <v>46.192768096923828</v>
          </cell>
          <cell r="D743">
            <v>181.66339111328119</v>
          </cell>
          <cell r="E743">
            <v>41.720779418945313</v>
          </cell>
          <cell r="F743">
            <v>44.024009704589837</v>
          </cell>
        </row>
        <row r="744">
          <cell r="A744">
            <v>43230</v>
          </cell>
          <cell r="B744">
            <v>129.4853820800781</v>
          </cell>
          <cell r="C744">
            <v>46.736808776855469</v>
          </cell>
          <cell r="D744">
            <v>184.51771545410159</v>
          </cell>
          <cell r="E744">
            <v>42.034271240234382</v>
          </cell>
          <cell r="F744">
            <v>45.514400482177727</v>
          </cell>
        </row>
        <row r="745">
          <cell r="A745">
            <v>43231</v>
          </cell>
          <cell r="B745">
            <v>129.49530029296881</v>
          </cell>
          <cell r="C745">
            <v>46.473285675048828</v>
          </cell>
          <cell r="D745">
            <v>185.96974182128909</v>
          </cell>
          <cell r="E745">
            <v>41.935752868652337</v>
          </cell>
          <cell r="F745">
            <v>45.729663848876953</v>
          </cell>
        </row>
        <row r="746">
          <cell r="A746">
            <v>43234</v>
          </cell>
          <cell r="B746">
            <v>126.58083343505859</v>
          </cell>
          <cell r="C746">
            <v>46.668807983398438</v>
          </cell>
          <cell r="D746">
            <v>185.6216735839844</v>
          </cell>
          <cell r="E746">
            <v>41.935752868652337</v>
          </cell>
          <cell r="F746">
            <v>46.979915618896477</v>
          </cell>
        </row>
        <row r="747">
          <cell r="A747">
            <v>43235</v>
          </cell>
          <cell r="B747">
            <v>127.0170211791992</v>
          </cell>
          <cell r="C747">
            <v>45.835731506347663</v>
          </cell>
          <cell r="D747">
            <v>183.31434631347659</v>
          </cell>
          <cell r="E747">
            <v>41.926799774169922</v>
          </cell>
          <cell r="F747">
            <v>46.069137573242188</v>
          </cell>
        </row>
        <row r="748">
          <cell r="A748">
            <v>43236</v>
          </cell>
          <cell r="B748">
            <v>127.65146636962891</v>
          </cell>
          <cell r="C748">
            <v>46.447788238525391</v>
          </cell>
          <cell r="D748">
            <v>182.20042419433591</v>
          </cell>
          <cell r="E748">
            <v>41.855129241943359</v>
          </cell>
          <cell r="F748">
            <v>46.946819305419922</v>
          </cell>
        </row>
        <row r="749">
          <cell r="A749">
            <v>43237</v>
          </cell>
          <cell r="B749">
            <v>124.9550704956055</v>
          </cell>
          <cell r="C749">
            <v>46.592296600341797</v>
          </cell>
          <cell r="D749">
            <v>182.7573547363281</v>
          </cell>
          <cell r="E749">
            <v>41.684955596923828</v>
          </cell>
          <cell r="F749">
            <v>47.15380859375</v>
          </cell>
        </row>
        <row r="750">
          <cell r="A750">
            <v>43238</v>
          </cell>
          <cell r="B750">
            <v>125.857177734375</v>
          </cell>
          <cell r="C750">
            <v>45.478702545166023</v>
          </cell>
          <cell r="D750">
            <v>181.6832580566406</v>
          </cell>
          <cell r="E750">
            <v>41.487907409667969</v>
          </cell>
          <cell r="F750">
            <v>47.617481231689453</v>
          </cell>
        </row>
        <row r="751">
          <cell r="A751">
            <v>43241</v>
          </cell>
          <cell r="B751">
            <v>125.2723007202148</v>
          </cell>
          <cell r="C751">
            <v>46.175765991210938</v>
          </cell>
          <cell r="D751">
            <v>183.4833984375</v>
          </cell>
          <cell r="E751">
            <v>42.285060882568359</v>
          </cell>
          <cell r="F751">
            <v>47.783069610595703</v>
          </cell>
        </row>
        <row r="752">
          <cell r="A752">
            <v>43242</v>
          </cell>
          <cell r="B752">
            <v>124.3503799438477</v>
          </cell>
          <cell r="C752">
            <v>46.286270141601563</v>
          </cell>
          <cell r="D752">
            <v>182.79718017578119</v>
          </cell>
          <cell r="E752">
            <v>41.532695770263672</v>
          </cell>
          <cell r="F752">
            <v>47.518112182617188</v>
          </cell>
        </row>
        <row r="753">
          <cell r="A753">
            <v>43243</v>
          </cell>
          <cell r="B753">
            <v>126.97735595703119</v>
          </cell>
          <cell r="C753">
            <v>46.932334899902337</v>
          </cell>
          <cell r="D753">
            <v>185.8802490234375</v>
          </cell>
          <cell r="E753">
            <v>42.007415771484382</v>
          </cell>
          <cell r="F753">
            <v>48.702133178710938</v>
          </cell>
        </row>
        <row r="754">
          <cell r="A754">
            <v>43244</v>
          </cell>
          <cell r="B754">
            <v>127.62171936035161</v>
          </cell>
          <cell r="C754">
            <v>46.541294097900391</v>
          </cell>
          <cell r="D754">
            <v>184.91552734375</v>
          </cell>
          <cell r="E754">
            <v>41.613315582275391</v>
          </cell>
          <cell r="F754">
            <v>48.917423248291023</v>
          </cell>
        </row>
        <row r="755">
          <cell r="A755">
            <v>43245</v>
          </cell>
          <cell r="B755">
            <v>126.84848785400391</v>
          </cell>
          <cell r="C755">
            <v>47.127838134765618</v>
          </cell>
          <cell r="D755">
            <v>183.9110412597656</v>
          </cell>
          <cell r="E755">
            <v>42.096969604492188</v>
          </cell>
          <cell r="F755">
            <v>49.646049499511719</v>
          </cell>
        </row>
        <row r="756">
          <cell r="A756">
            <v>43249</v>
          </cell>
          <cell r="B756">
            <v>125.7778701782227</v>
          </cell>
          <cell r="C756">
            <v>47.025836944580078</v>
          </cell>
          <cell r="D756">
            <v>184.7265625</v>
          </cell>
          <cell r="E756">
            <v>41.434165954589837</v>
          </cell>
          <cell r="F756">
            <v>48.717372894287109</v>
          </cell>
        </row>
        <row r="757">
          <cell r="A757">
            <v>43250</v>
          </cell>
          <cell r="B757">
            <v>128.1768493652344</v>
          </cell>
          <cell r="C757">
            <v>47.331844329833977</v>
          </cell>
          <cell r="D757">
            <v>186.64605712890619</v>
          </cell>
          <cell r="E757">
            <v>42.141765594482422</v>
          </cell>
          <cell r="F757">
            <v>48.851242065429688</v>
          </cell>
        </row>
        <row r="758">
          <cell r="A758">
            <v>43251</v>
          </cell>
          <cell r="B758">
            <v>128.20660400390619</v>
          </cell>
          <cell r="C758">
            <v>46.923828125</v>
          </cell>
          <cell r="D758">
            <v>190.73362731933591</v>
          </cell>
          <cell r="E758">
            <v>41.84619140625</v>
          </cell>
          <cell r="F758">
            <v>48.625350952148438</v>
          </cell>
        </row>
        <row r="759">
          <cell r="A759">
            <v>43252</v>
          </cell>
          <cell r="B759">
            <v>129.3862609863281</v>
          </cell>
          <cell r="C759">
            <v>48.521953582763672</v>
          </cell>
          <cell r="D759">
            <v>192.9315490722656</v>
          </cell>
          <cell r="E759">
            <v>42.41046142578125</v>
          </cell>
          <cell r="F759">
            <v>49.035293579101563</v>
          </cell>
        </row>
        <row r="760">
          <cell r="A760">
            <v>43255</v>
          </cell>
          <cell r="B760">
            <v>131.49772644042969</v>
          </cell>
          <cell r="C760">
            <v>48.309432983398438</v>
          </cell>
          <cell r="D760">
            <v>192.22541809082031</v>
          </cell>
          <cell r="E760">
            <v>42.383586883544922</v>
          </cell>
          <cell r="F760">
            <v>49.118961334228523</v>
          </cell>
        </row>
        <row r="761">
          <cell r="A761">
            <v>43256</v>
          </cell>
          <cell r="B761">
            <v>132.9549560546875</v>
          </cell>
          <cell r="C761">
            <v>48.054405212402337</v>
          </cell>
          <cell r="D761">
            <v>191.88728332519531</v>
          </cell>
          <cell r="E761">
            <v>42.213413238525391</v>
          </cell>
          <cell r="F761">
            <v>49.344844818115227</v>
          </cell>
        </row>
        <row r="762">
          <cell r="A762">
            <v>43257</v>
          </cell>
          <cell r="B762">
            <v>134.37257385253909</v>
          </cell>
          <cell r="C762">
            <v>48.479454040527337</v>
          </cell>
          <cell r="D762">
            <v>190.2960205078125</v>
          </cell>
          <cell r="E762">
            <v>42.768726348876953</v>
          </cell>
          <cell r="F762">
            <v>50.064350128173828</v>
          </cell>
        </row>
        <row r="763">
          <cell r="A763">
            <v>43258</v>
          </cell>
          <cell r="B763">
            <v>131.75550842285159</v>
          </cell>
          <cell r="C763">
            <v>47.501857757568359</v>
          </cell>
          <cell r="D763">
            <v>187.15324401855469</v>
          </cell>
          <cell r="E763">
            <v>42.706035614013672</v>
          </cell>
          <cell r="F763">
            <v>50.733665466308587</v>
          </cell>
        </row>
        <row r="764">
          <cell r="A764">
            <v>43259</v>
          </cell>
          <cell r="B764">
            <v>132.37010192871091</v>
          </cell>
          <cell r="C764">
            <v>46.796314239501953</v>
          </cell>
          <cell r="D764">
            <v>188.0682678222656</v>
          </cell>
          <cell r="E764">
            <v>43.153877258300781</v>
          </cell>
          <cell r="F764">
            <v>50.415737152099609</v>
          </cell>
        </row>
        <row r="765">
          <cell r="A765">
            <v>43262</v>
          </cell>
          <cell r="B765">
            <v>132.8161926269531</v>
          </cell>
          <cell r="C765">
            <v>46.345779418945313</v>
          </cell>
          <cell r="D765">
            <v>190.49494934082031</v>
          </cell>
          <cell r="E765">
            <v>43.162826538085938</v>
          </cell>
          <cell r="F765">
            <v>50.139659881591797</v>
          </cell>
        </row>
        <row r="766">
          <cell r="A766">
            <v>43263</v>
          </cell>
          <cell r="B766">
            <v>135.0763854980469</v>
          </cell>
          <cell r="C766">
            <v>46.600791931152337</v>
          </cell>
          <cell r="D766">
            <v>191.35023498535159</v>
          </cell>
          <cell r="E766">
            <v>43.395709991455078</v>
          </cell>
          <cell r="F766">
            <v>50.022533416748047</v>
          </cell>
        </row>
        <row r="767">
          <cell r="A767">
            <v>43264</v>
          </cell>
          <cell r="B767">
            <v>135.3143005371094</v>
          </cell>
          <cell r="C767">
            <v>46.779308319091797</v>
          </cell>
          <cell r="D767">
            <v>191.36018371582031</v>
          </cell>
          <cell r="E767">
            <v>43.234485626220703</v>
          </cell>
          <cell r="F767">
            <v>49.545635223388672</v>
          </cell>
        </row>
        <row r="768">
          <cell r="A768">
            <v>43265</v>
          </cell>
          <cell r="B768">
            <v>137.20770263671881</v>
          </cell>
          <cell r="C768">
            <v>47.212848663330078</v>
          </cell>
          <cell r="D768">
            <v>195.7361755371094</v>
          </cell>
          <cell r="E768">
            <v>41.111728668212891</v>
          </cell>
          <cell r="F768">
            <v>49.746433258056641</v>
          </cell>
        </row>
        <row r="769">
          <cell r="A769">
            <v>43266</v>
          </cell>
          <cell r="B769">
            <v>137.20770263671881</v>
          </cell>
          <cell r="C769">
            <v>46.847320556640618</v>
          </cell>
          <cell r="D769">
            <v>194.78141784667969</v>
          </cell>
          <cell r="E769">
            <v>41.452079772949219</v>
          </cell>
          <cell r="F769">
            <v>50.081100463867188</v>
          </cell>
        </row>
        <row r="770">
          <cell r="A770">
            <v>43269</v>
          </cell>
          <cell r="B770">
            <v>138.58564758300781</v>
          </cell>
          <cell r="C770">
            <v>45.240684509277337</v>
          </cell>
          <cell r="D770">
            <v>197.22801208496091</v>
          </cell>
          <cell r="E770">
            <v>41.667045593261719</v>
          </cell>
          <cell r="F770">
            <v>49.528919219970703</v>
          </cell>
        </row>
        <row r="771">
          <cell r="A771">
            <v>43270</v>
          </cell>
          <cell r="B771">
            <v>138.30809020996091</v>
          </cell>
          <cell r="C771">
            <v>44.994167327880859</v>
          </cell>
          <cell r="D771">
            <v>196.4124755859375</v>
          </cell>
          <cell r="E771">
            <v>41.443130493164063</v>
          </cell>
          <cell r="F771">
            <v>49.110603332519531</v>
          </cell>
        </row>
        <row r="772">
          <cell r="A772">
            <v>43271</v>
          </cell>
          <cell r="B772">
            <v>137.73310852050781</v>
          </cell>
          <cell r="C772">
            <v>45.4447021484375</v>
          </cell>
          <cell r="D772">
            <v>200.89787292480469</v>
          </cell>
          <cell r="E772">
            <v>38.353031158447273</v>
          </cell>
          <cell r="F772">
            <v>49.185886383056641</v>
          </cell>
        </row>
        <row r="773">
          <cell r="A773">
            <v>43272</v>
          </cell>
          <cell r="B773">
            <v>136.68231201171881</v>
          </cell>
          <cell r="C773">
            <v>44.365108489990227</v>
          </cell>
          <cell r="D773">
            <v>200.40057373046881</v>
          </cell>
          <cell r="E773">
            <v>38.603828430175781</v>
          </cell>
          <cell r="F773">
            <v>49.152416229248047</v>
          </cell>
        </row>
        <row r="774">
          <cell r="A774">
            <v>43273</v>
          </cell>
          <cell r="B774">
            <v>133.83723449707031</v>
          </cell>
          <cell r="C774">
            <v>44.628627777099609</v>
          </cell>
          <cell r="D774">
            <v>200.63929748535159</v>
          </cell>
          <cell r="E774">
            <v>39.499492645263672</v>
          </cell>
          <cell r="F774">
            <v>48.943264007568359</v>
          </cell>
        </row>
        <row r="775">
          <cell r="A775">
            <v>43276</v>
          </cell>
          <cell r="B775">
            <v>132.0330505371094</v>
          </cell>
          <cell r="C775">
            <v>43.107009887695313</v>
          </cell>
          <cell r="D775">
            <v>195.2787170410156</v>
          </cell>
          <cell r="E775">
            <v>39.660724639892578</v>
          </cell>
          <cell r="F775">
            <v>47.730152130126953</v>
          </cell>
        </row>
        <row r="776">
          <cell r="A776">
            <v>43277</v>
          </cell>
          <cell r="B776">
            <v>134.30316162109381</v>
          </cell>
          <cell r="C776">
            <v>42.222938537597663</v>
          </cell>
          <cell r="D776">
            <v>197.9142150878906</v>
          </cell>
          <cell r="E776">
            <v>39.777164459228523</v>
          </cell>
          <cell r="F776">
            <v>47.228168487548828</v>
          </cell>
        </row>
        <row r="777">
          <cell r="A777">
            <v>43278</v>
          </cell>
          <cell r="B777">
            <v>132.06278991699219</v>
          </cell>
          <cell r="C777">
            <v>41.449378967285163</v>
          </cell>
          <cell r="D777">
            <v>194.77146911621091</v>
          </cell>
          <cell r="E777">
            <v>38.917308807373047</v>
          </cell>
          <cell r="F777">
            <v>46.157264709472663</v>
          </cell>
        </row>
        <row r="778">
          <cell r="A778">
            <v>43279</v>
          </cell>
          <cell r="B778">
            <v>133.9462890625</v>
          </cell>
          <cell r="C778">
            <v>41.86590576171875</v>
          </cell>
          <cell r="D778">
            <v>195.1593322753906</v>
          </cell>
          <cell r="E778">
            <v>39.266620635986328</v>
          </cell>
          <cell r="F778">
            <v>46.768020629882813</v>
          </cell>
        </row>
        <row r="779">
          <cell r="A779">
            <v>43280</v>
          </cell>
          <cell r="B779">
            <v>135.21516418457031</v>
          </cell>
          <cell r="C779">
            <v>42.256938934326172</v>
          </cell>
          <cell r="D779">
            <v>193.259765625</v>
          </cell>
          <cell r="E779">
            <v>39.463672637939453</v>
          </cell>
          <cell r="F779">
            <v>46.952064514160163</v>
          </cell>
        </row>
        <row r="780">
          <cell r="A780">
            <v>43283</v>
          </cell>
          <cell r="B780">
            <v>139.21015930175781</v>
          </cell>
          <cell r="C780">
            <v>42.673480987548828</v>
          </cell>
          <cell r="D780">
            <v>196.28318786621091</v>
          </cell>
          <cell r="E780">
            <v>40.260837554931641</v>
          </cell>
          <cell r="F780">
            <v>47.002273559570313</v>
          </cell>
        </row>
        <row r="781">
          <cell r="A781">
            <v>43284</v>
          </cell>
          <cell r="B781">
            <v>136.64265441894531</v>
          </cell>
          <cell r="C781">
            <v>42.052932739257813</v>
          </cell>
          <cell r="D781">
            <v>191.6784362792969</v>
          </cell>
          <cell r="E781">
            <v>40.054817199707031</v>
          </cell>
          <cell r="F781">
            <v>46.291126251220703</v>
          </cell>
        </row>
        <row r="782">
          <cell r="A782">
            <v>43286</v>
          </cell>
          <cell r="B782">
            <v>138.55589294433591</v>
          </cell>
          <cell r="C782">
            <v>43.141017913818359</v>
          </cell>
          <cell r="D782">
            <v>197.36723327636719</v>
          </cell>
          <cell r="E782">
            <v>40.672843933105469</v>
          </cell>
          <cell r="F782">
            <v>48.006233215332031</v>
          </cell>
        </row>
        <row r="783">
          <cell r="A783">
            <v>43287</v>
          </cell>
          <cell r="B783">
            <v>140.1717224121094</v>
          </cell>
          <cell r="C783">
            <v>43.668056488037109</v>
          </cell>
          <cell r="D783">
            <v>202.12113952636719</v>
          </cell>
          <cell r="E783">
            <v>41.201290130615227</v>
          </cell>
          <cell r="F783">
            <v>48.391094207763672</v>
          </cell>
        </row>
        <row r="784">
          <cell r="A784">
            <v>43290</v>
          </cell>
          <cell r="B784">
            <v>140.52861022949219</v>
          </cell>
          <cell r="C784">
            <v>44.084598541259773</v>
          </cell>
          <cell r="D784">
            <v>203.62290954589841</v>
          </cell>
          <cell r="E784">
            <v>41.855129241943359</v>
          </cell>
          <cell r="F784">
            <v>48.558418273925781</v>
          </cell>
        </row>
        <row r="785">
          <cell r="A785">
            <v>43291</v>
          </cell>
          <cell r="B785">
            <v>141.2126159667969</v>
          </cell>
          <cell r="C785">
            <v>44.339614868164063</v>
          </cell>
          <cell r="D785">
            <v>202.429443359375</v>
          </cell>
          <cell r="E785">
            <v>42.088016510009773</v>
          </cell>
          <cell r="F785">
            <v>48.834495544433587</v>
          </cell>
        </row>
        <row r="786">
          <cell r="A786">
            <v>43292</v>
          </cell>
          <cell r="B786">
            <v>143.98829650878909</v>
          </cell>
          <cell r="C786">
            <v>43.523555755615227</v>
          </cell>
          <cell r="D786">
            <v>201.4349060058594</v>
          </cell>
          <cell r="E786">
            <v>42.670211791992188</v>
          </cell>
          <cell r="F786">
            <v>47.939300537109382</v>
          </cell>
        </row>
        <row r="787">
          <cell r="A787">
            <v>43293</v>
          </cell>
          <cell r="B787">
            <v>146.873046875</v>
          </cell>
          <cell r="C787">
            <v>44.501129150390618</v>
          </cell>
          <cell r="D787">
            <v>205.79100036621091</v>
          </cell>
          <cell r="E787">
            <v>43.127002716064453</v>
          </cell>
          <cell r="F787">
            <v>48.792667388916023</v>
          </cell>
        </row>
        <row r="788">
          <cell r="A788">
            <v>43294</v>
          </cell>
          <cell r="B788">
            <v>146.3277893066406</v>
          </cell>
          <cell r="C788">
            <v>44.390617370605469</v>
          </cell>
          <cell r="D788">
            <v>206.18882751464841</v>
          </cell>
          <cell r="E788">
            <v>43.556938171386719</v>
          </cell>
          <cell r="F788">
            <v>48.851242065429688</v>
          </cell>
        </row>
        <row r="789">
          <cell r="A789">
            <v>43297</v>
          </cell>
          <cell r="B789">
            <v>145.6834411621094</v>
          </cell>
          <cell r="C789">
            <v>44.212100982666023</v>
          </cell>
          <cell r="D789">
            <v>206.09930419921881</v>
          </cell>
          <cell r="E789">
            <v>43.574909210205078</v>
          </cell>
          <cell r="F789">
            <v>48.817779541015618</v>
          </cell>
        </row>
        <row r="790">
          <cell r="A790">
            <v>43298</v>
          </cell>
          <cell r="B790">
            <v>145.74290466308591</v>
          </cell>
          <cell r="C790">
            <v>43.9910888671875</v>
          </cell>
          <cell r="D790">
            <v>208.84428405761719</v>
          </cell>
          <cell r="E790">
            <v>43.970558166503913</v>
          </cell>
          <cell r="F790">
            <v>49.286281585693359</v>
          </cell>
        </row>
        <row r="791">
          <cell r="A791">
            <v>43299</v>
          </cell>
          <cell r="B791">
            <v>146.5557861328125</v>
          </cell>
          <cell r="C791">
            <v>43.965579986572273</v>
          </cell>
          <cell r="D791">
            <v>208.21769714355469</v>
          </cell>
          <cell r="E791">
            <v>43.736770629882813</v>
          </cell>
          <cell r="F791">
            <v>49.160785675048828</v>
          </cell>
        </row>
        <row r="792">
          <cell r="A792">
            <v>43300</v>
          </cell>
          <cell r="B792">
            <v>145.8817138671875</v>
          </cell>
          <cell r="C792">
            <v>44.186599731445313</v>
          </cell>
          <cell r="D792">
            <v>206.9546203613281</v>
          </cell>
          <cell r="E792">
            <v>43.556926727294922</v>
          </cell>
          <cell r="F792">
            <v>49.620941162109382</v>
          </cell>
        </row>
        <row r="793">
          <cell r="A793">
            <v>43301</v>
          </cell>
          <cell r="B793">
            <v>145.5942077636719</v>
          </cell>
          <cell r="C793">
            <v>44.127105712890618</v>
          </cell>
          <cell r="D793">
            <v>208.79454040527341</v>
          </cell>
          <cell r="E793">
            <v>43.628868103027337</v>
          </cell>
          <cell r="F793">
            <v>49.035293579101563</v>
          </cell>
        </row>
        <row r="794">
          <cell r="A794">
            <v>43304</v>
          </cell>
          <cell r="B794">
            <v>146.2782287597656</v>
          </cell>
          <cell r="C794">
            <v>44.467124938964837</v>
          </cell>
          <cell r="D794">
            <v>209.7592468261719</v>
          </cell>
          <cell r="E794">
            <v>43.763744354248047</v>
          </cell>
          <cell r="F794">
            <v>49.428520202636719</v>
          </cell>
        </row>
        <row r="795">
          <cell r="A795">
            <v>43305</v>
          </cell>
          <cell r="B795">
            <v>144.73179626464841</v>
          </cell>
          <cell r="C795">
            <v>44.356616973876953</v>
          </cell>
          <cell r="D795">
            <v>213.49873352050781</v>
          </cell>
          <cell r="E795">
            <v>43.763744354248047</v>
          </cell>
          <cell r="F795">
            <v>49.236087799072273</v>
          </cell>
        </row>
        <row r="796">
          <cell r="A796">
            <v>43306</v>
          </cell>
          <cell r="B796">
            <v>147.57684326171881</v>
          </cell>
          <cell r="C796">
            <v>44.569133758544922</v>
          </cell>
          <cell r="D796">
            <v>216.31330871582031</v>
          </cell>
          <cell r="E796">
            <v>44.015522003173828</v>
          </cell>
          <cell r="F796">
            <v>49.712959289550781</v>
          </cell>
        </row>
        <row r="797">
          <cell r="A797">
            <v>43307</v>
          </cell>
          <cell r="B797">
            <v>146.28814697265619</v>
          </cell>
          <cell r="C797">
            <v>44.339614868164063</v>
          </cell>
          <cell r="D797">
            <v>175.2983093261719</v>
          </cell>
          <cell r="E797">
            <v>43.943572998046882</v>
          </cell>
          <cell r="F797">
            <v>53.193378448486328</v>
          </cell>
        </row>
        <row r="798">
          <cell r="A798">
            <v>43308</v>
          </cell>
          <cell r="B798">
            <v>142.65992736816409</v>
          </cell>
          <cell r="C798">
            <v>40.531307220458977</v>
          </cell>
          <cell r="D798">
            <v>173.93577575683591</v>
          </cell>
          <cell r="E798">
            <v>43.727783203125</v>
          </cell>
          <cell r="F798">
            <v>52.448768615722663</v>
          </cell>
        </row>
        <row r="799">
          <cell r="A799">
            <v>43311</v>
          </cell>
          <cell r="B799">
            <v>136.83100891113281</v>
          </cell>
          <cell r="C799">
            <v>40.539794921875</v>
          </cell>
          <cell r="D799">
            <v>170.12669372558591</v>
          </cell>
          <cell r="E799">
            <v>42.918495178222663</v>
          </cell>
          <cell r="F799">
            <v>51.904956817626953</v>
          </cell>
        </row>
        <row r="800">
          <cell r="A800">
            <v>43312</v>
          </cell>
          <cell r="B800">
            <v>135.95866394042969</v>
          </cell>
          <cell r="C800">
            <v>40.888339996337891</v>
          </cell>
          <cell r="D800">
            <v>171.63836669921881</v>
          </cell>
          <cell r="E800">
            <v>42.873538970947273</v>
          </cell>
          <cell r="F800">
            <v>53.620063781738281</v>
          </cell>
        </row>
        <row r="801">
          <cell r="A801">
            <v>43313</v>
          </cell>
          <cell r="B801">
            <v>136.4840393066406</v>
          </cell>
          <cell r="C801">
            <v>41.491874694824219</v>
          </cell>
          <cell r="D801">
            <v>170.71343994140619</v>
          </cell>
          <cell r="E801">
            <v>42.576816558837891</v>
          </cell>
          <cell r="F801">
            <v>53.837589263916023</v>
          </cell>
        </row>
        <row r="802">
          <cell r="A802">
            <v>43314</v>
          </cell>
          <cell r="B802">
            <v>139.91400146484381</v>
          </cell>
          <cell r="C802">
            <v>42.061428070068359</v>
          </cell>
          <cell r="D802">
            <v>175.40769958496091</v>
          </cell>
          <cell r="E802">
            <v>43.071372985839837</v>
          </cell>
          <cell r="F802">
            <v>54.188980102539063</v>
          </cell>
        </row>
        <row r="803">
          <cell r="A803">
            <v>43315</v>
          </cell>
          <cell r="B803">
            <v>139.81486511230469</v>
          </cell>
          <cell r="C803">
            <v>42.188934326171882</v>
          </cell>
          <cell r="D803">
            <v>176.80999755859381</v>
          </cell>
          <cell r="E803">
            <v>43.583908081054688</v>
          </cell>
          <cell r="F803">
            <v>54.716064453125</v>
          </cell>
        </row>
        <row r="804">
          <cell r="A804">
            <v>43318</v>
          </cell>
          <cell r="B804">
            <v>141.47035217285159</v>
          </cell>
          <cell r="C804">
            <v>42.163280487060547</v>
          </cell>
          <cell r="D804">
            <v>184.6768493652344</v>
          </cell>
          <cell r="E804">
            <v>43.763744354248047</v>
          </cell>
          <cell r="F804">
            <v>54.992153167724609</v>
          </cell>
        </row>
        <row r="805">
          <cell r="A805">
            <v>43319</v>
          </cell>
          <cell r="B805">
            <v>143.1853332519531</v>
          </cell>
          <cell r="C805">
            <v>42.505390167236328</v>
          </cell>
          <cell r="D805">
            <v>182.8070983886719</v>
          </cell>
          <cell r="E805">
            <v>43.5928955078125</v>
          </cell>
          <cell r="F805">
            <v>54.749534606933587</v>
          </cell>
        </row>
        <row r="806">
          <cell r="A806">
            <v>43320</v>
          </cell>
          <cell r="B806">
            <v>143.90899658203119</v>
          </cell>
          <cell r="C806">
            <v>42.727741241455078</v>
          </cell>
          <cell r="D806">
            <v>184.16961669921881</v>
          </cell>
          <cell r="E806">
            <v>43.511974334716797</v>
          </cell>
          <cell r="F806">
            <v>54.515266418457031</v>
          </cell>
        </row>
        <row r="807">
          <cell r="A807">
            <v>43321</v>
          </cell>
          <cell r="B807">
            <v>144.55335998535159</v>
          </cell>
          <cell r="C807">
            <v>42.881675720214837</v>
          </cell>
          <cell r="D807">
            <v>182.0910339355469</v>
          </cell>
          <cell r="E807">
            <v>43.646842956542969</v>
          </cell>
          <cell r="F807">
            <v>54.448345184326172</v>
          </cell>
        </row>
        <row r="808">
          <cell r="A808">
            <v>43322</v>
          </cell>
          <cell r="B808">
            <v>144.24601745605469</v>
          </cell>
          <cell r="C808">
            <v>41.778423309326172</v>
          </cell>
          <cell r="D808">
            <v>179.27647399902341</v>
          </cell>
          <cell r="E808">
            <v>43.449020385742188</v>
          </cell>
          <cell r="F808">
            <v>54.230812072753913</v>
          </cell>
        </row>
        <row r="809">
          <cell r="A809">
            <v>43325</v>
          </cell>
          <cell r="B809">
            <v>143.19523620605469</v>
          </cell>
          <cell r="C809">
            <v>41.436328887939453</v>
          </cell>
          <cell r="D809">
            <v>179.06761169433591</v>
          </cell>
          <cell r="E809">
            <v>43.170272827148438</v>
          </cell>
          <cell r="F809">
            <v>54.247539520263672</v>
          </cell>
        </row>
        <row r="810">
          <cell r="A810">
            <v>43326</v>
          </cell>
          <cell r="B810">
            <v>145.29685974121091</v>
          </cell>
          <cell r="C810">
            <v>41.154090881347663</v>
          </cell>
          <cell r="D810">
            <v>180.1218566894531</v>
          </cell>
          <cell r="E810">
            <v>43.368087768554688</v>
          </cell>
          <cell r="F810">
            <v>54.741157531738281</v>
          </cell>
        </row>
        <row r="811">
          <cell r="A811">
            <v>43327</v>
          </cell>
          <cell r="B811">
            <v>143.78013610839841</v>
          </cell>
          <cell r="C811">
            <v>40.589645385742188</v>
          </cell>
          <cell r="D811">
            <v>178.55046081542969</v>
          </cell>
          <cell r="E811">
            <v>43.017410278320313</v>
          </cell>
          <cell r="F811">
            <v>54.950325012207031</v>
          </cell>
        </row>
        <row r="812">
          <cell r="A812">
            <v>43328</v>
          </cell>
          <cell r="B812">
            <v>144.464111328125</v>
          </cell>
          <cell r="C812">
            <v>40.341625213623047</v>
          </cell>
          <cell r="D812">
            <v>173.746826171875</v>
          </cell>
          <cell r="E812">
            <v>43.251205444335938</v>
          </cell>
          <cell r="F812">
            <v>55.017250061035163</v>
          </cell>
        </row>
        <row r="813">
          <cell r="A813">
            <v>43329</v>
          </cell>
          <cell r="B813">
            <v>143.76029968261719</v>
          </cell>
          <cell r="C813">
            <v>40.281753540039063</v>
          </cell>
          <cell r="D813">
            <v>172.85173034667969</v>
          </cell>
          <cell r="E813">
            <v>43.4849853515625</v>
          </cell>
          <cell r="F813">
            <v>55.268245697021477</v>
          </cell>
        </row>
        <row r="814">
          <cell r="A814">
            <v>43332</v>
          </cell>
          <cell r="B814">
            <v>144.44429016113281</v>
          </cell>
          <cell r="C814">
            <v>39.768608093261719</v>
          </cell>
          <cell r="D814">
            <v>171.55882263183591</v>
          </cell>
          <cell r="E814">
            <v>43.5389404296875</v>
          </cell>
          <cell r="F814">
            <v>55.351909637451172</v>
          </cell>
        </row>
        <row r="815">
          <cell r="A815">
            <v>43333</v>
          </cell>
          <cell r="B815">
            <v>144.26585388183591</v>
          </cell>
          <cell r="C815">
            <v>40.726486206054688</v>
          </cell>
          <cell r="D815">
            <v>171.67816162109381</v>
          </cell>
          <cell r="E815">
            <v>43.529953002929688</v>
          </cell>
          <cell r="F815">
            <v>55.678195953369141</v>
          </cell>
        </row>
        <row r="816">
          <cell r="A816">
            <v>43334</v>
          </cell>
          <cell r="B816">
            <v>145.18778991699219</v>
          </cell>
          <cell r="C816">
            <v>40.238994598388672</v>
          </cell>
          <cell r="D816">
            <v>172.6925964355469</v>
          </cell>
          <cell r="E816">
            <v>43.880638122558587</v>
          </cell>
          <cell r="F816">
            <v>55.920818328857422</v>
          </cell>
        </row>
        <row r="817">
          <cell r="A817">
            <v>43335</v>
          </cell>
          <cell r="B817">
            <v>146.54588317871091</v>
          </cell>
          <cell r="C817">
            <v>40.179122924804688</v>
          </cell>
          <cell r="D817">
            <v>171.9566345214844</v>
          </cell>
          <cell r="E817">
            <v>44.024501800537109</v>
          </cell>
          <cell r="F817">
            <v>55.93756103515625</v>
          </cell>
        </row>
        <row r="818">
          <cell r="A818">
            <v>43336</v>
          </cell>
          <cell r="B818">
            <v>150.97705078125</v>
          </cell>
          <cell r="C818">
            <v>40.760688781738281</v>
          </cell>
          <cell r="D818">
            <v>173.69708251953119</v>
          </cell>
          <cell r="E818">
            <v>44.294269561767578</v>
          </cell>
          <cell r="F818">
            <v>56.180179595947273</v>
          </cell>
        </row>
        <row r="819">
          <cell r="A819">
            <v>43339</v>
          </cell>
          <cell r="B819">
            <v>150.3624267578125</v>
          </cell>
          <cell r="C819">
            <v>41.350803375244141</v>
          </cell>
          <cell r="D819">
            <v>176.49176025390619</v>
          </cell>
          <cell r="E819">
            <v>44.357208251953118</v>
          </cell>
          <cell r="F819">
            <v>56.339130401611328</v>
          </cell>
        </row>
        <row r="820">
          <cell r="A820">
            <v>43340</v>
          </cell>
          <cell r="B820">
            <v>151.66107177734381</v>
          </cell>
          <cell r="C820">
            <v>41.538955688476563</v>
          </cell>
          <cell r="D820">
            <v>175.2983093261719</v>
          </cell>
          <cell r="E820">
            <v>43.736770629882813</v>
          </cell>
          <cell r="F820">
            <v>58.380523681640618</v>
          </cell>
        </row>
        <row r="821">
          <cell r="A821">
            <v>43341</v>
          </cell>
          <cell r="B821">
            <v>153.4553527832031</v>
          </cell>
          <cell r="C821">
            <v>41.692909240722663</v>
          </cell>
          <cell r="D821">
            <v>174.94026184082031</v>
          </cell>
          <cell r="E821">
            <v>43.961563110351563</v>
          </cell>
          <cell r="F821">
            <v>57.895290374755859</v>
          </cell>
        </row>
        <row r="822">
          <cell r="A822">
            <v>43342</v>
          </cell>
          <cell r="B822">
            <v>150.8184509277344</v>
          </cell>
          <cell r="C822">
            <v>41.256725311279297</v>
          </cell>
          <cell r="D822">
            <v>176.6707763671875</v>
          </cell>
          <cell r="E822">
            <v>43.502979278564453</v>
          </cell>
          <cell r="F822">
            <v>57.008441925048828</v>
          </cell>
        </row>
        <row r="823">
          <cell r="A823">
            <v>43343</v>
          </cell>
          <cell r="B823">
            <v>151.35374450683591</v>
          </cell>
          <cell r="C823">
            <v>41.419227600097663</v>
          </cell>
          <cell r="D823">
            <v>174.77119445800781</v>
          </cell>
          <cell r="E823">
            <v>43.682815551757813</v>
          </cell>
          <cell r="F823">
            <v>57.485328674316413</v>
          </cell>
        </row>
        <row r="824">
          <cell r="A824">
            <v>43347</v>
          </cell>
          <cell r="B824">
            <v>151.879150390625</v>
          </cell>
          <cell r="C824">
            <v>41.017261505126953</v>
          </cell>
          <cell r="D824">
            <v>170.22615051269531</v>
          </cell>
          <cell r="E824">
            <v>43.682815551757813</v>
          </cell>
          <cell r="F824">
            <v>59.080982208251953</v>
          </cell>
        </row>
        <row r="825">
          <cell r="A825">
            <v>43348</v>
          </cell>
          <cell r="B825">
            <v>147.3587646484375</v>
          </cell>
          <cell r="C825">
            <v>40.812004089355469</v>
          </cell>
          <cell r="D825">
            <v>166.267822265625</v>
          </cell>
          <cell r="E825">
            <v>43.197246551513672</v>
          </cell>
          <cell r="F825">
            <v>59.849246978759773</v>
          </cell>
        </row>
        <row r="826">
          <cell r="A826">
            <v>43349</v>
          </cell>
          <cell r="B826">
            <v>147.53721618652341</v>
          </cell>
          <cell r="C826">
            <v>40.418590545654297</v>
          </cell>
          <cell r="D826">
            <v>161.64320373535159</v>
          </cell>
          <cell r="E826">
            <v>42.900508880615227</v>
          </cell>
          <cell r="F826">
            <v>59.401790618896477</v>
          </cell>
        </row>
        <row r="827">
          <cell r="A827">
            <v>43350</v>
          </cell>
          <cell r="B827">
            <v>149.123291015625</v>
          </cell>
          <cell r="C827">
            <v>39.725864410400391</v>
          </cell>
          <cell r="D827">
            <v>162.1504211425781</v>
          </cell>
          <cell r="E827">
            <v>42.990436553955078</v>
          </cell>
          <cell r="F827">
            <v>59.418659210205078</v>
          </cell>
        </row>
        <row r="828">
          <cell r="A828">
            <v>43353</v>
          </cell>
          <cell r="B828">
            <v>150.00556945800781</v>
          </cell>
          <cell r="C828">
            <v>39.597560882568359</v>
          </cell>
          <cell r="D828">
            <v>163.28419494628909</v>
          </cell>
          <cell r="E828">
            <v>43.934585571289063</v>
          </cell>
          <cell r="F828">
            <v>61.0565185546875</v>
          </cell>
        </row>
        <row r="829">
          <cell r="A829">
            <v>43354</v>
          </cell>
          <cell r="B829">
            <v>151.51237487792969</v>
          </cell>
          <cell r="C829">
            <v>38.425888061523438</v>
          </cell>
          <cell r="D829">
            <v>165.03462219238281</v>
          </cell>
          <cell r="E829">
            <v>43.988544464111328</v>
          </cell>
          <cell r="F829">
            <v>61.216941833496087</v>
          </cell>
        </row>
        <row r="830">
          <cell r="A830">
            <v>43355</v>
          </cell>
          <cell r="B830">
            <v>154.02037048339841</v>
          </cell>
          <cell r="C830">
            <v>38.425888061523438</v>
          </cell>
          <cell r="D830">
            <v>161.1160888671875</v>
          </cell>
          <cell r="E830">
            <v>44.366199493408203</v>
          </cell>
          <cell r="F830">
            <v>60.575298309326172</v>
          </cell>
        </row>
        <row r="831">
          <cell r="A831">
            <v>43356</v>
          </cell>
          <cell r="B831">
            <v>156.80598449707031</v>
          </cell>
          <cell r="C831">
            <v>38.973236083984382</v>
          </cell>
          <cell r="D831">
            <v>160.47959899902341</v>
          </cell>
          <cell r="E831">
            <v>44.024501800537109</v>
          </cell>
          <cell r="F831">
            <v>62.989864349365227</v>
          </cell>
        </row>
        <row r="832">
          <cell r="A832">
            <v>43357</v>
          </cell>
          <cell r="B832">
            <v>156.1219787597656</v>
          </cell>
          <cell r="C832">
            <v>38.947586059570313</v>
          </cell>
          <cell r="D832">
            <v>161.4343566894531</v>
          </cell>
          <cell r="E832">
            <v>44.285270690917969</v>
          </cell>
          <cell r="F832">
            <v>63.395107269287109</v>
          </cell>
        </row>
        <row r="833">
          <cell r="A833">
            <v>43360</v>
          </cell>
          <cell r="B833">
            <v>153.57429504394531</v>
          </cell>
          <cell r="C833">
            <v>38.844955444335938</v>
          </cell>
          <cell r="D833">
            <v>159.703857421875</v>
          </cell>
          <cell r="E833">
            <v>44.222320556640618</v>
          </cell>
          <cell r="F833">
            <v>61.833213806152337</v>
          </cell>
        </row>
        <row r="834">
          <cell r="A834">
            <v>43361</v>
          </cell>
          <cell r="B834">
            <v>154.64491271972659</v>
          </cell>
          <cell r="C834">
            <v>39.426525115966797</v>
          </cell>
          <cell r="D834">
            <v>159.42536926269531</v>
          </cell>
          <cell r="E834">
            <v>44.087451934814453</v>
          </cell>
          <cell r="F834">
            <v>63.082744598388672</v>
          </cell>
        </row>
        <row r="835">
          <cell r="A835">
            <v>43362</v>
          </cell>
          <cell r="B835">
            <v>151.57185363769531</v>
          </cell>
          <cell r="C835">
            <v>39.469284057617188</v>
          </cell>
          <cell r="D835">
            <v>162.17030334472659</v>
          </cell>
          <cell r="E835">
            <v>44.447132110595703</v>
          </cell>
          <cell r="F835">
            <v>62.525535583496087</v>
          </cell>
        </row>
        <row r="836">
          <cell r="A836">
            <v>43363</v>
          </cell>
          <cell r="B836">
            <v>154.1492614746094</v>
          </cell>
          <cell r="C836">
            <v>40.367279052734382</v>
          </cell>
          <cell r="D836">
            <v>165.1141662597656</v>
          </cell>
          <cell r="E836">
            <v>45.346317291259773</v>
          </cell>
          <cell r="F836">
            <v>62.981430053710938</v>
          </cell>
        </row>
        <row r="837">
          <cell r="A837">
            <v>43364</v>
          </cell>
          <cell r="B837">
            <v>154.1690979003906</v>
          </cell>
          <cell r="C837">
            <v>39.90545654296875</v>
          </cell>
          <cell r="D837">
            <v>162.04100036621091</v>
          </cell>
          <cell r="E837">
            <v>45.948783874511719</v>
          </cell>
          <cell r="F837">
            <v>62.221603393554688</v>
          </cell>
        </row>
        <row r="838">
          <cell r="A838">
            <v>43367</v>
          </cell>
          <cell r="B838">
            <v>157.4007568359375</v>
          </cell>
          <cell r="C838">
            <v>40.119255065917969</v>
          </cell>
          <cell r="D838">
            <v>164.50752258300781</v>
          </cell>
          <cell r="E838">
            <v>46.074676513671882</v>
          </cell>
          <cell r="F838">
            <v>62.120296478271477</v>
          </cell>
        </row>
        <row r="839">
          <cell r="A839">
            <v>43368</v>
          </cell>
          <cell r="B839">
            <v>157.48997497558591</v>
          </cell>
          <cell r="C839">
            <v>39.264019012451172</v>
          </cell>
          <cell r="D839">
            <v>164.01023864746091</v>
          </cell>
          <cell r="E839">
            <v>46.50628662109375</v>
          </cell>
          <cell r="F839">
            <v>61.411117553710938</v>
          </cell>
        </row>
        <row r="840">
          <cell r="A840">
            <v>43369</v>
          </cell>
          <cell r="B840">
            <v>156.95466613769531</v>
          </cell>
          <cell r="C840">
            <v>39.084419250488281</v>
          </cell>
          <cell r="D840">
            <v>166.0390930175781</v>
          </cell>
          <cell r="E840">
            <v>46.425361633300781</v>
          </cell>
          <cell r="F840">
            <v>60.583740234375</v>
          </cell>
        </row>
        <row r="841">
          <cell r="A841">
            <v>43370</v>
          </cell>
          <cell r="B841">
            <v>159.03643798828119</v>
          </cell>
          <cell r="C841">
            <v>39.238365173339837</v>
          </cell>
          <cell r="D841">
            <v>167.9187927246094</v>
          </cell>
          <cell r="E841">
            <v>46.47930908203125</v>
          </cell>
          <cell r="F841">
            <v>60.541526794433587</v>
          </cell>
        </row>
        <row r="842">
          <cell r="A842">
            <v>43371</v>
          </cell>
          <cell r="B842">
            <v>157.64860534667969</v>
          </cell>
          <cell r="C842">
            <v>40.444244384765618</v>
          </cell>
          <cell r="D842">
            <v>163.56268310546881</v>
          </cell>
          <cell r="E842">
            <v>46.362411499023438</v>
          </cell>
          <cell r="F842">
            <v>60.81170654296875</v>
          </cell>
        </row>
        <row r="843">
          <cell r="A843">
            <v>43374</v>
          </cell>
          <cell r="B843">
            <v>158.47138977050781</v>
          </cell>
          <cell r="C843">
            <v>39.725864410400391</v>
          </cell>
          <cell r="D843">
            <v>161.5537109375</v>
          </cell>
          <cell r="E843">
            <v>46.578220367431641</v>
          </cell>
          <cell r="F843">
            <v>61.29290771484375</v>
          </cell>
        </row>
        <row r="844">
          <cell r="A844">
            <v>43375</v>
          </cell>
          <cell r="B844">
            <v>155.8939514160156</v>
          </cell>
          <cell r="C844">
            <v>41.137001037597663</v>
          </cell>
          <cell r="D844">
            <v>158.460693359375</v>
          </cell>
          <cell r="E844">
            <v>45.166484832763672</v>
          </cell>
          <cell r="F844">
            <v>61.926101684570313</v>
          </cell>
        </row>
        <row r="845">
          <cell r="A845">
            <v>43376</v>
          </cell>
          <cell r="B845">
            <v>157.71800231933591</v>
          </cell>
          <cell r="C845">
            <v>41.701450347900391</v>
          </cell>
          <cell r="D845">
            <v>161.54376220703119</v>
          </cell>
          <cell r="E845">
            <v>44.734867095947273</v>
          </cell>
          <cell r="F845">
            <v>61.326690673828118</v>
          </cell>
        </row>
        <row r="846">
          <cell r="A846">
            <v>43377</v>
          </cell>
          <cell r="B846">
            <v>153.55445861816409</v>
          </cell>
          <cell r="C846">
            <v>41.162654876708977</v>
          </cell>
          <cell r="D846">
            <v>157.98329162597659</v>
          </cell>
          <cell r="E846">
            <v>44.483100891113281</v>
          </cell>
          <cell r="F846">
            <v>61.107189178466797</v>
          </cell>
        </row>
        <row r="847">
          <cell r="A847">
            <v>43378</v>
          </cell>
          <cell r="B847">
            <v>153.7230224609375</v>
          </cell>
          <cell r="C847">
            <v>40.221889495849609</v>
          </cell>
          <cell r="D847">
            <v>156.47160339355469</v>
          </cell>
          <cell r="E847">
            <v>44.375194549560547</v>
          </cell>
          <cell r="F847">
            <v>60.119403839111328</v>
          </cell>
        </row>
        <row r="848">
          <cell r="A848">
            <v>43381</v>
          </cell>
          <cell r="B848">
            <v>147.3587646484375</v>
          </cell>
          <cell r="C848">
            <v>40.221889495849609</v>
          </cell>
          <cell r="D848">
            <v>156.39204406738281</v>
          </cell>
          <cell r="E848">
            <v>44.384189605712891</v>
          </cell>
          <cell r="F848">
            <v>59.883007049560547</v>
          </cell>
        </row>
        <row r="849">
          <cell r="A849">
            <v>43382</v>
          </cell>
          <cell r="B849">
            <v>147.2100830078125</v>
          </cell>
          <cell r="C849">
            <v>39.811374664306641</v>
          </cell>
          <cell r="D849">
            <v>157.0384826660156</v>
          </cell>
          <cell r="E849">
            <v>43.943572998046882</v>
          </cell>
          <cell r="F849">
            <v>59.207614898681641</v>
          </cell>
        </row>
        <row r="850">
          <cell r="A850">
            <v>43383</v>
          </cell>
          <cell r="B850">
            <v>136.61293029785159</v>
          </cell>
          <cell r="C850">
            <v>38.314701080322273</v>
          </cell>
          <cell r="D850">
            <v>150.5540466308594</v>
          </cell>
          <cell r="E850">
            <v>42.62176513671875</v>
          </cell>
          <cell r="F850">
            <v>56.337146759033203</v>
          </cell>
        </row>
        <row r="851">
          <cell r="A851">
            <v>43384</v>
          </cell>
          <cell r="B851">
            <v>138.03050231933591</v>
          </cell>
          <cell r="C851">
            <v>37.82720947265625</v>
          </cell>
          <cell r="D851">
            <v>152.5133056640625</v>
          </cell>
          <cell r="E851">
            <v>42.064273834228523</v>
          </cell>
          <cell r="F851">
            <v>54.277168273925781</v>
          </cell>
        </row>
        <row r="852">
          <cell r="A852">
            <v>43385</v>
          </cell>
          <cell r="B852">
            <v>145.46534729003909</v>
          </cell>
          <cell r="C852">
            <v>38.383121490478523</v>
          </cell>
          <cell r="D852">
            <v>152.90119934082031</v>
          </cell>
          <cell r="E852">
            <v>42.603797912597663</v>
          </cell>
          <cell r="F852">
            <v>54.277168273925781</v>
          </cell>
        </row>
        <row r="853">
          <cell r="A853">
            <v>43388</v>
          </cell>
          <cell r="B853">
            <v>140.7169494628906</v>
          </cell>
          <cell r="C853">
            <v>38.083782196044922</v>
          </cell>
          <cell r="D853">
            <v>152.68238830566409</v>
          </cell>
          <cell r="E853">
            <v>42.54058837890625</v>
          </cell>
          <cell r="F853">
            <v>54.17584228515625</v>
          </cell>
        </row>
        <row r="854">
          <cell r="A854">
            <v>43389</v>
          </cell>
          <cell r="B854">
            <v>146.1592712402344</v>
          </cell>
          <cell r="C854">
            <v>39.289680480957031</v>
          </cell>
          <cell r="D854">
            <v>157.9136962890625</v>
          </cell>
          <cell r="E854">
            <v>43.542713165283203</v>
          </cell>
          <cell r="F854">
            <v>55.822151184082031</v>
          </cell>
        </row>
        <row r="855">
          <cell r="A855">
            <v>43390</v>
          </cell>
          <cell r="B855">
            <v>145.73298645019531</v>
          </cell>
          <cell r="C855">
            <v>39.246921539306641</v>
          </cell>
          <cell r="D855">
            <v>158.55015563964841</v>
          </cell>
          <cell r="E855">
            <v>43.208675384521477</v>
          </cell>
          <cell r="F855">
            <v>55.805259704589837</v>
          </cell>
        </row>
        <row r="856">
          <cell r="A856">
            <v>43391</v>
          </cell>
          <cell r="B856">
            <v>141.59922790527341</v>
          </cell>
          <cell r="C856">
            <v>38.460098266601563</v>
          </cell>
          <cell r="D856">
            <v>154.0747375488281</v>
          </cell>
          <cell r="E856">
            <v>42.775321960449219</v>
          </cell>
          <cell r="F856">
            <v>55.003200531005859</v>
          </cell>
        </row>
        <row r="857">
          <cell r="A857">
            <v>43392</v>
          </cell>
          <cell r="B857">
            <v>139.2696533203125</v>
          </cell>
          <cell r="C857">
            <v>37.630512237548828</v>
          </cell>
          <cell r="D857">
            <v>153.2095031738281</v>
          </cell>
          <cell r="E857">
            <v>42.964920043945313</v>
          </cell>
          <cell r="F857">
            <v>55.180507659912109</v>
          </cell>
        </row>
        <row r="858">
          <cell r="A858">
            <v>43395</v>
          </cell>
          <cell r="B858">
            <v>141.70826721191409</v>
          </cell>
          <cell r="C858">
            <v>38.494300842285163</v>
          </cell>
          <cell r="D858">
            <v>153.93550109863281</v>
          </cell>
          <cell r="E858">
            <v>43.280895233154297</v>
          </cell>
          <cell r="F858">
            <v>55.822151184082031</v>
          </cell>
        </row>
        <row r="859">
          <cell r="A859">
            <v>43396</v>
          </cell>
          <cell r="B859">
            <v>139.43818664550781</v>
          </cell>
          <cell r="C859">
            <v>38.058135986328118</v>
          </cell>
          <cell r="D859">
            <v>153.5476379394531</v>
          </cell>
          <cell r="E859">
            <v>43.326042175292969</v>
          </cell>
          <cell r="F859">
            <v>56.041645050048828</v>
          </cell>
        </row>
        <row r="860">
          <cell r="A860">
            <v>43397</v>
          </cell>
          <cell r="B860">
            <v>132.1024475097656</v>
          </cell>
          <cell r="C860">
            <v>36.279243469238281</v>
          </cell>
          <cell r="D860">
            <v>145.2431945800781</v>
          </cell>
          <cell r="E860">
            <v>42.215583801269531</v>
          </cell>
          <cell r="F860">
            <v>52.867252349853523</v>
          </cell>
        </row>
        <row r="861">
          <cell r="A861">
            <v>43398</v>
          </cell>
          <cell r="B861">
            <v>139.5769348144531</v>
          </cell>
          <cell r="C861">
            <v>37.895645141601563</v>
          </cell>
          <cell r="D861">
            <v>150.12640380859381</v>
          </cell>
          <cell r="E861">
            <v>43.298957824707031</v>
          </cell>
          <cell r="F861">
            <v>53.356922149658203</v>
          </cell>
        </row>
        <row r="862">
          <cell r="A862">
            <v>43399</v>
          </cell>
          <cell r="B862">
            <v>134.34283447265619</v>
          </cell>
          <cell r="C862">
            <v>39.075870513916023</v>
          </cell>
          <cell r="D862">
            <v>144.57682800292969</v>
          </cell>
          <cell r="E862">
            <v>42.721149444580078</v>
          </cell>
          <cell r="F862">
            <v>52.749057769775391</v>
          </cell>
        </row>
        <row r="863">
          <cell r="A863">
            <v>43402</v>
          </cell>
          <cell r="B863">
            <v>129.85215759277341</v>
          </cell>
          <cell r="C863">
            <v>38.827850341796882</v>
          </cell>
          <cell r="D863">
            <v>141.31474304199219</v>
          </cell>
          <cell r="E863">
            <v>42.450309753417969</v>
          </cell>
          <cell r="F863">
            <v>52.487339019775391</v>
          </cell>
        </row>
        <row r="864">
          <cell r="A864">
            <v>43403</v>
          </cell>
          <cell r="B864">
            <v>131.02191162109381</v>
          </cell>
          <cell r="C864">
            <v>40.846214294433587</v>
          </cell>
          <cell r="D864">
            <v>145.42219543457031</v>
          </cell>
          <cell r="E864">
            <v>43.849674224853523</v>
          </cell>
          <cell r="F864">
            <v>53.340034484863281</v>
          </cell>
        </row>
        <row r="865">
          <cell r="A865">
            <v>43404</v>
          </cell>
          <cell r="B865">
            <v>136.04786682128909</v>
          </cell>
          <cell r="C865">
            <v>40.093597412109382</v>
          </cell>
          <cell r="D865">
            <v>150.96180725097659</v>
          </cell>
          <cell r="E865">
            <v>44.093425750732422</v>
          </cell>
          <cell r="F865">
            <v>53.095211029052727</v>
          </cell>
        </row>
        <row r="866">
          <cell r="A866">
            <v>43405</v>
          </cell>
          <cell r="B866">
            <v>138.37745666503909</v>
          </cell>
          <cell r="C866">
            <v>41.239620208740227</v>
          </cell>
          <cell r="D866">
            <v>150.92204284667969</v>
          </cell>
          <cell r="E866">
            <v>43.86773681640625</v>
          </cell>
          <cell r="F866">
            <v>53.787483215332031</v>
          </cell>
        </row>
        <row r="867">
          <cell r="A867">
            <v>43406</v>
          </cell>
          <cell r="B867">
            <v>135.6017761230469</v>
          </cell>
          <cell r="C867">
            <v>40.290313720703118</v>
          </cell>
          <cell r="D867">
            <v>149.5296630859375</v>
          </cell>
          <cell r="E867">
            <v>44.084400177001953</v>
          </cell>
          <cell r="F867">
            <v>53.466678619384773</v>
          </cell>
        </row>
        <row r="868">
          <cell r="A868">
            <v>43409</v>
          </cell>
          <cell r="B868">
            <v>134.26350402832031</v>
          </cell>
          <cell r="C868">
            <v>41.025810241699219</v>
          </cell>
          <cell r="D868">
            <v>147.8687744140625</v>
          </cell>
          <cell r="E868">
            <v>44.255939483642578</v>
          </cell>
          <cell r="F868">
            <v>53.584877014160163</v>
          </cell>
        </row>
        <row r="869">
          <cell r="A869">
            <v>43410</v>
          </cell>
          <cell r="B869">
            <v>132.78645324707031</v>
          </cell>
          <cell r="C869">
            <v>40.664352416992188</v>
          </cell>
          <cell r="D869">
            <v>149.1219177246094</v>
          </cell>
          <cell r="E869">
            <v>44.463577270507813</v>
          </cell>
          <cell r="F869">
            <v>53.719955444335938</v>
          </cell>
        </row>
        <row r="870">
          <cell r="A870">
            <v>43411</v>
          </cell>
          <cell r="B870">
            <v>140.558349609375</v>
          </cell>
          <cell r="C870">
            <v>41.929473876953118</v>
          </cell>
          <cell r="D870">
            <v>150.7032470703125</v>
          </cell>
          <cell r="E870">
            <v>45.375419616699219</v>
          </cell>
          <cell r="F870">
            <v>53.365375518798828</v>
          </cell>
        </row>
        <row r="871">
          <cell r="A871">
            <v>43412</v>
          </cell>
          <cell r="B871">
            <v>140.6376647949219</v>
          </cell>
          <cell r="C871">
            <v>42.161830902099609</v>
          </cell>
          <cell r="D871">
            <v>147.0632019042969</v>
          </cell>
          <cell r="E871">
            <v>45.528900146484382</v>
          </cell>
          <cell r="F871">
            <v>49.009014129638672</v>
          </cell>
        </row>
        <row r="872">
          <cell r="A872">
            <v>43413</v>
          </cell>
          <cell r="B872">
            <v>135.73065185546881</v>
          </cell>
          <cell r="C872">
            <v>41.404487609863281</v>
          </cell>
          <cell r="D872">
            <v>144.16908264160159</v>
          </cell>
          <cell r="E872">
            <v>45.691410064697273</v>
          </cell>
          <cell r="F872">
            <v>47.886142730712891</v>
          </cell>
        </row>
        <row r="873">
          <cell r="A873">
            <v>43416</v>
          </cell>
          <cell r="B873">
            <v>129.3664245605469</v>
          </cell>
          <cell r="C873">
            <v>40.147979736328118</v>
          </cell>
          <cell r="D873">
            <v>140.7776794433594</v>
          </cell>
          <cell r="E873">
            <v>44.436504364013672</v>
          </cell>
          <cell r="F873">
            <v>46.003471374511719</v>
          </cell>
        </row>
        <row r="874">
          <cell r="A874">
            <v>43417</v>
          </cell>
          <cell r="B874">
            <v>131.01200866699219</v>
          </cell>
          <cell r="C874">
            <v>40.784843444824219</v>
          </cell>
          <cell r="D874">
            <v>141.38435363769531</v>
          </cell>
          <cell r="E874">
            <v>44.698310852050781</v>
          </cell>
          <cell r="F874">
            <v>45.724857330322273</v>
          </cell>
        </row>
        <row r="875">
          <cell r="A875">
            <v>43418</v>
          </cell>
          <cell r="B875">
            <v>128.2264099121094</v>
          </cell>
          <cell r="C875">
            <v>40.526653289794922</v>
          </cell>
          <cell r="D875">
            <v>143.43312072753909</v>
          </cell>
          <cell r="E875">
            <v>44.093425750732422</v>
          </cell>
          <cell r="F875">
            <v>45.539115905761719</v>
          </cell>
        </row>
        <row r="876">
          <cell r="A876">
            <v>43419</v>
          </cell>
          <cell r="B876">
            <v>131.3391418457031</v>
          </cell>
          <cell r="C876">
            <v>41.404487609863281</v>
          </cell>
          <cell r="D876">
            <v>143.06513977050781</v>
          </cell>
          <cell r="E876">
            <v>45.70947265625</v>
          </cell>
          <cell r="F876">
            <v>46.763286590576172</v>
          </cell>
        </row>
        <row r="877">
          <cell r="A877">
            <v>43420</v>
          </cell>
          <cell r="B877">
            <v>131.39860534667969</v>
          </cell>
          <cell r="C877">
            <v>42.024135589599609</v>
          </cell>
          <cell r="D877">
            <v>138.7687072753906</v>
          </cell>
          <cell r="E877">
            <v>46.196975708007813</v>
          </cell>
          <cell r="F877">
            <v>47.176967620849609</v>
          </cell>
        </row>
        <row r="878">
          <cell r="A878">
            <v>43423</v>
          </cell>
          <cell r="B878">
            <v>119.958854675293</v>
          </cell>
          <cell r="C878">
            <v>41.309818267822273</v>
          </cell>
          <cell r="D878">
            <v>130.83226013183591</v>
          </cell>
          <cell r="E878">
            <v>44.734424591064453</v>
          </cell>
          <cell r="F878">
            <v>46.349617004394531</v>
          </cell>
        </row>
        <row r="879">
          <cell r="A879">
            <v>43424</v>
          </cell>
          <cell r="B879">
            <v>119.62180328369141</v>
          </cell>
          <cell r="C879">
            <v>40.784843444824219</v>
          </cell>
          <cell r="D879">
            <v>131.70744323730469</v>
          </cell>
          <cell r="E879">
            <v>43.632991790771477</v>
          </cell>
          <cell r="F879">
            <v>46.366481781005859</v>
          </cell>
        </row>
        <row r="880">
          <cell r="A880">
            <v>43425</v>
          </cell>
          <cell r="B880">
            <v>122.5164413452148</v>
          </cell>
          <cell r="C880">
            <v>40.475006103515618</v>
          </cell>
          <cell r="D880">
            <v>134.08441162109381</v>
          </cell>
          <cell r="E880">
            <v>43.894805908203118</v>
          </cell>
          <cell r="F880">
            <v>46.661979675292969</v>
          </cell>
        </row>
        <row r="881">
          <cell r="A881">
            <v>43427</v>
          </cell>
          <cell r="B881">
            <v>120.9700012207031</v>
          </cell>
          <cell r="C881">
            <v>40.053318023681641</v>
          </cell>
          <cell r="D881">
            <v>131.0112609863281</v>
          </cell>
          <cell r="E881">
            <v>43.967033386230469</v>
          </cell>
          <cell r="F881">
            <v>46.645099639892578</v>
          </cell>
        </row>
        <row r="882">
          <cell r="A882">
            <v>43430</v>
          </cell>
          <cell r="B882">
            <v>125.31195068359381</v>
          </cell>
          <cell r="C882">
            <v>40.83648681640625</v>
          </cell>
          <cell r="D882">
            <v>135.63587951660159</v>
          </cell>
          <cell r="E882">
            <v>43.569793701171882</v>
          </cell>
          <cell r="F882">
            <v>47.050334930419922</v>
          </cell>
        </row>
        <row r="883">
          <cell r="A883">
            <v>43431</v>
          </cell>
          <cell r="B883">
            <v>126.4321365356445</v>
          </cell>
          <cell r="C883">
            <v>41.370067596435547</v>
          </cell>
          <cell r="D883">
            <v>134.26344299316409</v>
          </cell>
          <cell r="E883">
            <v>42.829490661621087</v>
          </cell>
          <cell r="F883">
            <v>46.915241241455078</v>
          </cell>
        </row>
        <row r="884">
          <cell r="A884">
            <v>43432</v>
          </cell>
          <cell r="B884">
            <v>139.41835021972659</v>
          </cell>
          <cell r="C884">
            <v>42.049953460693359</v>
          </cell>
          <cell r="D884">
            <v>136.01380920410159</v>
          </cell>
          <cell r="E884">
            <v>43.506591796875</v>
          </cell>
          <cell r="F884">
            <v>47.827045440673828</v>
          </cell>
        </row>
        <row r="885">
          <cell r="A885">
            <v>43433</v>
          </cell>
          <cell r="B885">
            <v>138.5063171386719</v>
          </cell>
          <cell r="C885">
            <v>41.0516357421875</v>
          </cell>
          <cell r="D885">
            <v>137.92333984375</v>
          </cell>
          <cell r="E885">
            <v>43.244789123535163</v>
          </cell>
          <cell r="F885">
            <v>49.059669494628913</v>
          </cell>
        </row>
        <row r="886">
          <cell r="A886">
            <v>43434</v>
          </cell>
          <cell r="B886">
            <v>141.51991271972659</v>
          </cell>
          <cell r="C886">
            <v>42.437232971191413</v>
          </cell>
          <cell r="D886">
            <v>139.8428039550781</v>
          </cell>
          <cell r="E886">
            <v>44.021198272705078</v>
          </cell>
          <cell r="F886">
            <v>49.186298370361328</v>
          </cell>
        </row>
        <row r="887">
          <cell r="A887">
            <v>43437</v>
          </cell>
          <cell r="B887">
            <v>142.89784240722659</v>
          </cell>
          <cell r="C887">
            <v>43.142940521240227</v>
          </cell>
          <cell r="D887">
            <v>140.3201904296875</v>
          </cell>
          <cell r="E887">
            <v>44.987209320068359</v>
          </cell>
          <cell r="F887">
            <v>49.929241180419922</v>
          </cell>
        </row>
        <row r="888">
          <cell r="A888">
            <v>43438</v>
          </cell>
          <cell r="B888">
            <v>138.03050231933591</v>
          </cell>
          <cell r="C888">
            <v>41.094673156738281</v>
          </cell>
          <cell r="D888">
            <v>137.17742919921881</v>
          </cell>
          <cell r="E888">
            <v>44.012184143066413</v>
          </cell>
          <cell r="F888">
            <v>48.738849639892578</v>
          </cell>
        </row>
        <row r="889">
          <cell r="A889">
            <v>43440</v>
          </cell>
          <cell r="B889">
            <v>140.82598876953119</v>
          </cell>
          <cell r="C889">
            <v>41.628246307373047</v>
          </cell>
          <cell r="D889">
            <v>138.8681640625</v>
          </cell>
          <cell r="E889">
            <v>42.143341064453118</v>
          </cell>
          <cell r="F889">
            <v>48.738845825195313</v>
          </cell>
        </row>
        <row r="890">
          <cell r="A890">
            <v>43441</v>
          </cell>
          <cell r="B890">
            <v>134.7690734863281</v>
          </cell>
          <cell r="C890">
            <v>39.795127868652337</v>
          </cell>
          <cell r="D890">
            <v>136.67021179199219</v>
          </cell>
          <cell r="E890">
            <v>41.529430389404297</v>
          </cell>
          <cell r="F890">
            <v>47.78302001953125</v>
          </cell>
        </row>
        <row r="891">
          <cell r="A891">
            <v>43444</v>
          </cell>
          <cell r="B891">
            <v>136.07759094238281</v>
          </cell>
          <cell r="C891">
            <v>40.629928588867188</v>
          </cell>
          <cell r="D891">
            <v>141.07606506347659</v>
          </cell>
          <cell r="E891">
            <v>42.134323120117188</v>
          </cell>
          <cell r="F891">
            <v>48.849784851074219</v>
          </cell>
        </row>
        <row r="892">
          <cell r="A892">
            <v>43445</v>
          </cell>
          <cell r="B892">
            <v>135.6017761230469</v>
          </cell>
          <cell r="C892">
            <v>40.776229858398438</v>
          </cell>
          <cell r="D892">
            <v>141.3048095703125</v>
          </cell>
          <cell r="E892">
            <v>41.944736480712891</v>
          </cell>
          <cell r="F892">
            <v>48.943668365478523</v>
          </cell>
        </row>
        <row r="893">
          <cell r="A893">
            <v>43446</v>
          </cell>
          <cell r="B893">
            <v>138.87310791015619</v>
          </cell>
          <cell r="C893">
            <v>41.163509368896477</v>
          </cell>
          <cell r="D893">
            <v>143.71159362792969</v>
          </cell>
          <cell r="E893">
            <v>42.721149444580078</v>
          </cell>
          <cell r="F893">
            <v>49.259429931640618</v>
          </cell>
        </row>
        <row r="894">
          <cell r="A894">
            <v>43447</v>
          </cell>
          <cell r="B894">
            <v>139.91400146484381</v>
          </cell>
          <cell r="C894">
            <v>41.559391021728523</v>
          </cell>
          <cell r="D894">
            <v>144.21879577636719</v>
          </cell>
          <cell r="E894">
            <v>42.639900207519531</v>
          </cell>
          <cell r="F894">
            <v>49.575199127197273</v>
          </cell>
        </row>
        <row r="895">
          <cell r="A895">
            <v>43448</v>
          </cell>
          <cell r="B895">
            <v>135.84962463378909</v>
          </cell>
          <cell r="C895">
            <v>41.189327239990227</v>
          </cell>
          <cell r="D895">
            <v>143.27397155761719</v>
          </cell>
          <cell r="E895">
            <v>42.071121215820313</v>
          </cell>
          <cell r="F895">
            <v>49.174095153808587</v>
          </cell>
        </row>
        <row r="896">
          <cell r="A896">
            <v>43451</v>
          </cell>
          <cell r="B896">
            <v>129.6935729980469</v>
          </cell>
          <cell r="C896">
            <v>40.518043518066413</v>
          </cell>
          <cell r="D896">
            <v>139.42510986328119</v>
          </cell>
          <cell r="E896">
            <v>41.285678863525391</v>
          </cell>
          <cell r="F896">
            <v>48.644973754882813</v>
          </cell>
        </row>
        <row r="897">
          <cell r="A897">
            <v>43452</v>
          </cell>
          <cell r="B897">
            <v>131.17060852050781</v>
          </cell>
          <cell r="C897">
            <v>41.086055755615227</v>
          </cell>
          <cell r="D897">
            <v>142.87615966796881</v>
          </cell>
          <cell r="E897">
            <v>41.394023895263672</v>
          </cell>
          <cell r="F897">
            <v>49.310634613037109</v>
          </cell>
        </row>
        <row r="898">
          <cell r="A898">
            <v>43453</v>
          </cell>
          <cell r="B898">
            <v>130.02067565917969</v>
          </cell>
          <cell r="C898">
            <v>39.218513488769531</v>
          </cell>
          <cell r="D898">
            <v>132.5130310058594</v>
          </cell>
          <cell r="E898">
            <v>41.935699462890618</v>
          </cell>
          <cell r="F898">
            <v>48.380401611328118</v>
          </cell>
        </row>
        <row r="899">
          <cell r="A899">
            <v>43454</v>
          </cell>
          <cell r="B899">
            <v>126.6204833984375</v>
          </cell>
          <cell r="C899">
            <v>39.192691802978523</v>
          </cell>
          <cell r="D899">
            <v>132.67213439941409</v>
          </cell>
          <cell r="E899">
            <v>41.746112823486328</v>
          </cell>
          <cell r="F899">
            <v>48.107315063476563</v>
          </cell>
        </row>
        <row r="900">
          <cell r="A900">
            <v>43455</v>
          </cell>
          <cell r="B900">
            <v>121.84234619140619</v>
          </cell>
          <cell r="C900">
            <v>38.590255737304688</v>
          </cell>
          <cell r="D900">
            <v>124.26824951171881</v>
          </cell>
          <cell r="E900">
            <v>39.723804473876953</v>
          </cell>
          <cell r="F900">
            <v>46.810108184814453</v>
          </cell>
        </row>
        <row r="901">
          <cell r="A901">
            <v>43458</v>
          </cell>
          <cell r="B901">
            <v>120.2760772705078</v>
          </cell>
          <cell r="C901">
            <v>37.514480590820313</v>
          </cell>
          <cell r="D901">
            <v>123.3831024169922</v>
          </cell>
          <cell r="E901">
            <v>38.541114807128913</v>
          </cell>
          <cell r="F901">
            <v>45.7860107421875</v>
          </cell>
        </row>
        <row r="902">
          <cell r="A902">
            <v>43460</v>
          </cell>
          <cell r="B902">
            <v>129.70347595214841</v>
          </cell>
          <cell r="C902">
            <v>39.752090454101563</v>
          </cell>
          <cell r="D902">
            <v>133.4479064941406</v>
          </cell>
          <cell r="E902">
            <v>40.256465911865227</v>
          </cell>
          <cell r="F902">
            <v>47.757415771484382</v>
          </cell>
        </row>
        <row r="903">
          <cell r="A903">
            <v>43461</v>
          </cell>
          <cell r="B903">
            <v>134.02558898925781</v>
          </cell>
          <cell r="C903">
            <v>39.898406982421882</v>
          </cell>
          <cell r="D903">
            <v>133.7860412597656</v>
          </cell>
          <cell r="E903">
            <v>40.599536895751953</v>
          </cell>
          <cell r="F903">
            <v>47.868362426757813</v>
          </cell>
        </row>
        <row r="904">
          <cell r="A904">
            <v>43462</v>
          </cell>
          <cell r="B904">
            <v>133.5101013183594</v>
          </cell>
          <cell r="C904">
            <v>40.234046936035163</v>
          </cell>
          <cell r="D904">
            <v>132.4732360839844</v>
          </cell>
          <cell r="E904">
            <v>40.464107513427727</v>
          </cell>
          <cell r="F904">
            <v>48.482814788818359</v>
          </cell>
        </row>
        <row r="905">
          <cell r="A905">
            <v>43465</v>
          </cell>
          <cell r="B905">
            <v>135.78022766113281</v>
          </cell>
          <cell r="C905">
            <v>40.388954162597663</v>
          </cell>
          <cell r="D905">
            <v>130.37474060058591</v>
          </cell>
          <cell r="E905">
            <v>40.762054443359382</v>
          </cell>
          <cell r="F905">
            <v>48.568168640136719</v>
          </cell>
        </row>
        <row r="906">
          <cell r="A906">
            <v>43467</v>
          </cell>
          <cell r="B906">
            <v>134.37257385253909</v>
          </cell>
          <cell r="C906">
            <v>40.518043518066413</v>
          </cell>
          <cell r="D906">
            <v>134.93971252441409</v>
          </cell>
          <cell r="E906">
            <v>40.825252532958977</v>
          </cell>
          <cell r="F906">
            <v>48.986347198486328</v>
          </cell>
        </row>
        <row r="907">
          <cell r="A907">
            <v>43468</v>
          </cell>
          <cell r="B907">
            <v>129.26727294921881</v>
          </cell>
          <cell r="C907">
            <v>38.289035797119141</v>
          </cell>
          <cell r="D907">
            <v>131.02122497558591</v>
          </cell>
          <cell r="E907">
            <v>40.428012847900391</v>
          </cell>
          <cell r="F907">
            <v>47.5355224609375</v>
          </cell>
        </row>
        <row r="908">
          <cell r="A908">
            <v>43469</v>
          </cell>
          <cell r="B908">
            <v>136.7616271972656</v>
          </cell>
          <cell r="C908">
            <v>40.638542175292969</v>
          </cell>
          <cell r="D908">
            <v>137.19734191894531</v>
          </cell>
          <cell r="E908">
            <v>42.170433044433587</v>
          </cell>
          <cell r="F908">
            <v>48.303604125976563</v>
          </cell>
        </row>
        <row r="909">
          <cell r="A909">
            <v>43472</v>
          </cell>
          <cell r="B909">
            <v>140.984619140625</v>
          </cell>
          <cell r="C909">
            <v>40.827880859375</v>
          </cell>
          <cell r="D909">
            <v>137.29676818847659</v>
          </cell>
          <cell r="E909">
            <v>42.838516235351563</v>
          </cell>
          <cell r="F909">
            <v>48.167045593261719</v>
          </cell>
        </row>
        <row r="910">
          <cell r="A910">
            <v>43473</v>
          </cell>
          <cell r="B910">
            <v>144.45420837402341</v>
          </cell>
          <cell r="C910">
            <v>41.086055755615227</v>
          </cell>
          <cell r="D910">
            <v>141.7523193359375</v>
          </cell>
          <cell r="E910">
            <v>43.226730346679688</v>
          </cell>
          <cell r="F910">
            <v>47.748886108398438</v>
          </cell>
        </row>
        <row r="911">
          <cell r="A911">
            <v>43474</v>
          </cell>
          <cell r="B911">
            <v>144.72187805175781</v>
          </cell>
          <cell r="C911">
            <v>41.318424224853523</v>
          </cell>
          <cell r="D911">
            <v>143.44303894042969</v>
          </cell>
          <cell r="E911">
            <v>43.136444091796882</v>
          </cell>
          <cell r="F911">
            <v>48.312137603759773</v>
          </cell>
        </row>
        <row r="912">
          <cell r="A912">
            <v>43475</v>
          </cell>
          <cell r="B912">
            <v>145.76274108886719</v>
          </cell>
          <cell r="C912">
            <v>41.791763305664063</v>
          </cell>
          <cell r="D912">
            <v>143.4132080078125</v>
          </cell>
          <cell r="E912">
            <v>43.172565460205078</v>
          </cell>
          <cell r="F912">
            <v>48.474288940429688</v>
          </cell>
        </row>
        <row r="913">
          <cell r="A913">
            <v>43476</v>
          </cell>
          <cell r="B913">
            <v>146.26832580566409</v>
          </cell>
          <cell r="C913">
            <v>42.110195159912109</v>
          </cell>
          <cell r="D913">
            <v>143.0154113769531</v>
          </cell>
          <cell r="E913">
            <v>43.596874237060547</v>
          </cell>
          <cell r="F913">
            <v>49.071678161621087</v>
          </cell>
        </row>
        <row r="914">
          <cell r="A914">
            <v>43479</v>
          </cell>
          <cell r="B914">
            <v>144.78135681152341</v>
          </cell>
          <cell r="C914">
            <v>41.611030578613281</v>
          </cell>
          <cell r="D914">
            <v>144.59672546386719</v>
          </cell>
          <cell r="E914">
            <v>43.497570037841797</v>
          </cell>
          <cell r="F914">
            <v>48.900989532470703</v>
          </cell>
        </row>
        <row r="915">
          <cell r="A915">
            <v>43480</v>
          </cell>
          <cell r="B915">
            <v>147.89405822753909</v>
          </cell>
          <cell r="C915">
            <v>41.826187133789063</v>
          </cell>
          <cell r="D915">
            <v>148.1372985839844</v>
          </cell>
          <cell r="E915">
            <v>43.851058959960938</v>
          </cell>
          <cell r="F915">
            <v>47.561126708984382</v>
          </cell>
        </row>
        <row r="916">
          <cell r="A916">
            <v>43481</v>
          </cell>
          <cell r="B916">
            <v>147.24971008300781</v>
          </cell>
          <cell r="C916">
            <v>41.421695709228523</v>
          </cell>
          <cell r="D916">
            <v>146.73500061035159</v>
          </cell>
          <cell r="E916">
            <v>43.561019897460938</v>
          </cell>
          <cell r="F916">
            <v>47.168552398681641</v>
          </cell>
        </row>
        <row r="917">
          <cell r="A917">
            <v>43482</v>
          </cell>
          <cell r="B917">
            <v>148.5185852050781</v>
          </cell>
          <cell r="C917">
            <v>41.714309692382813</v>
          </cell>
          <cell r="D917">
            <v>147.4908752441406</v>
          </cell>
          <cell r="E917">
            <v>44.032337188720703</v>
          </cell>
          <cell r="F917">
            <v>46.741844177246087</v>
          </cell>
        </row>
        <row r="918">
          <cell r="A918">
            <v>43483</v>
          </cell>
          <cell r="B918">
            <v>151.18522644042969</v>
          </cell>
          <cell r="C918">
            <v>42.333957672119141</v>
          </cell>
          <cell r="D918">
            <v>149.2213439941406</v>
          </cell>
          <cell r="E918">
            <v>44.657752990722663</v>
          </cell>
          <cell r="F918">
            <v>47.168552398681641</v>
          </cell>
        </row>
        <row r="919">
          <cell r="A919">
            <v>43487</v>
          </cell>
          <cell r="B919">
            <v>147.6561279296875</v>
          </cell>
          <cell r="C919">
            <v>41.542194366455078</v>
          </cell>
          <cell r="D919">
            <v>146.76483154296881</v>
          </cell>
          <cell r="E919">
            <v>44.358634948730469</v>
          </cell>
          <cell r="F919">
            <v>46.332202911376953</v>
          </cell>
        </row>
        <row r="920">
          <cell r="A920">
            <v>43488</v>
          </cell>
          <cell r="B920">
            <v>148.44920349121091</v>
          </cell>
          <cell r="C920">
            <v>41.258182525634773</v>
          </cell>
          <cell r="D920">
            <v>143.51268005371091</v>
          </cell>
          <cell r="E920">
            <v>44.630565643310547</v>
          </cell>
          <cell r="F920">
            <v>44.181583404541023</v>
          </cell>
        </row>
        <row r="921">
          <cell r="A921">
            <v>43489</v>
          </cell>
          <cell r="B921">
            <v>145.5942077636719</v>
          </cell>
          <cell r="C921">
            <v>42.824504852294922</v>
          </cell>
          <cell r="D921">
            <v>145.0343322753906</v>
          </cell>
          <cell r="E921">
            <v>44.59429931640625</v>
          </cell>
          <cell r="F921">
            <v>43.362289428710938</v>
          </cell>
        </row>
        <row r="922">
          <cell r="A922">
            <v>43490</v>
          </cell>
          <cell r="B922">
            <v>148.43928527832031</v>
          </cell>
          <cell r="C922">
            <v>40.483627319335938</v>
          </cell>
          <cell r="D922">
            <v>148.19697570800781</v>
          </cell>
          <cell r="E922">
            <v>45.138145446777337</v>
          </cell>
          <cell r="F922">
            <v>43.780475616455078</v>
          </cell>
        </row>
        <row r="923">
          <cell r="A923">
            <v>43493</v>
          </cell>
          <cell r="B923">
            <v>146.05023193359381</v>
          </cell>
          <cell r="C923">
            <v>40.199611663818359</v>
          </cell>
          <cell r="D923">
            <v>146.66539001464841</v>
          </cell>
          <cell r="E923">
            <v>44.884342193603523</v>
          </cell>
          <cell r="F923">
            <v>43.217212677001953</v>
          </cell>
        </row>
        <row r="924">
          <cell r="A924">
            <v>43494</v>
          </cell>
          <cell r="B924">
            <v>143.91888427734381</v>
          </cell>
          <cell r="C924">
            <v>40.053318023681641</v>
          </cell>
          <cell r="D924">
            <v>143.4032897949219</v>
          </cell>
          <cell r="E924">
            <v>44.965927124023438</v>
          </cell>
          <cell r="F924">
            <v>42.158977508544922</v>
          </cell>
        </row>
        <row r="925">
          <cell r="A925">
            <v>43495</v>
          </cell>
          <cell r="B925">
            <v>147.86433410644531</v>
          </cell>
          <cell r="C925">
            <v>40.9139404296875</v>
          </cell>
          <cell r="D925">
            <v>149.59928894042969</v>
          </cell>
          <cell r="E925">
            <v>45.645717620849609</v>
          </cell>
          <cell r="F925">
            <v>42.816108703613281</v>
          </cell>
        </row>
        <row r="926">
          <cell r="A926">
            <v>43496</v>
          </cell>
          <cell r="B926">
            <v>150.6499328613281</v>
          </cell>
          <cell r="C926">
            <v>40.552471160888672</v>
          </cell>
          <cell r="D926">
            <v>165.780517578125</v>
          </cell>
          <cell r="E926">
            <v>45.527877807617188</v>
          </cell>
          <cell r="F926">
            <v>42.261383056640618</v>
          </cell>
        </row>
        <row r="927">
          <cell r="A927">
            <v>43497</v>
          </cell>
          <cell r="B927">
            <v>154.51603698730469</v>
          </cell>
          <cell r="C927">
            <v>41.938068389892578</v>
          </cell>
          <cell r="D927">
            <v>164.80586242675781</v>
          </cell>
          <cell r="E927">
            <v>46.0535888671875</v>
          </cell>
          <cell r="F927">
            <v>42.338188171386719</v>
          </cell>
        </row>
        <row r="928">
          <cell r="A928">
            <v>43500</v>
          </cell>
          <cell r="B928">
            <v>156.3499755859375</v>
          </cell>
          <cell r="C928">
            <v>42.359779357910163</v>
          </cell>
          <cell r="D928">
            <v>168.32655334472659</v>
          </cell>
          <cell r="E928">
            <v>46.25299072265625</v>
          </cell>
          <cell r="F928">
            <v>42.406463623046882</v>
          </cell>
        </row>
        <row r="929">
          <cell r="A929">
            <v>43501</v>
          </cell>
          <cell r="B929">
            <v>157.60894775390619</v>
          </cell>
          <cell r="C929">
            <v>43.039669036865227</v>
          </cell>
          <cell r="D929">
            <v>170.22615051269531</v>
          </cell>
          <cell r="E929">
            <v>46.443336486816413</v>
          </cell>
          <cell r="F929">
            <v>43.294029235839837</v>
          </cell>
        </row>
        <row r="930">
          <cell r="A930">
            <v>43502</v>
          </cell>
          <cell r="B930">
            <v>156.75642395019531</v>
          </cell>
          <cell r="C930">
            <v>43.217216491699219</v>
          </cell>
          <cell r="D930">
            <v>169.55979919433591</v>
          </cell>
          <cell r="E930">
            <v>46.461463928222663</v>
          </cell>
          <cell r="F930">
            <v>43.609786987304688</v>
          </cell>
        </row>
        <row r="931">
          <cell r="A931">
            <v>43503</v>
          </cell>
          <cell r="B931">
            <v>153.5841979980469</v>
          </cell>
          <cell r="C931">
            <v>42.636943817138672</v>
          </cell>
          <cell r="D931">
            <v>165.47221374511719</v>
          </cell>
          <cell r="E931">
            <v>45.518814086914063</v>
          </cell>
          <cell r="F931">
            <v>43.140407562255859</v>
          </cell>
        </row>
        <row r="932">
          <cell r="A932">
            <v>43504</v>
          </cell>
          <cell r="B932">
            <v>155.30909729003909</v>
          </cell>
          <cell r="C932">
            <v>42.299175262451172</v>
          </cell>
          <cell r="D932">
            <v>166.41703796386719</v>
          </cell>
          <cell r="E932">
            <v>46.25299072265625</v>
          </cell>
          <cell r="F932">
            <v>42.918521881103523</v>
          </cell>
        </row>
        <row r="933">
          <cell r="A933">
            <v>43507</v>
          </cell>
          <cell r="B933">
            <v>158.52095031738281</v>
          </cell>
          <cell r="C933">
            <v>42.238552093505859</v>
          </cell>
          <cell r="D933">
            <v>164.8854064941406</v>
          </cell>
          <cell r="E933">
            <v>46.434268951416023</v>
          </cell>
          <cell r="F933">
            <v>43.379364013671882</v>
          </cell>
        </row>
        <row r="934">
          <cell r="A934">
            <v>43508</v>
          </cell>
          <cell r="B934">
            <v>161.37591552734381</v>
          </cell>
          <cell r="C934">
            <v>43.312484741210938</v>
          </cell>
          <cell r="D934">
            <v>164.13951110839841</v>
          </cell>
          <cell r="E934">
            <v>46.425212860107422</v>
          </cell>
          <cell r="F934">
            <v>44.08770751953125</v>
          </cell>
        </row>
        <row r="935">
          <cell r="A935">
            <v>43509</v>
          </cell>
          <cell r="B935">
            <v>159.0066833496094</v>
          </cell>
          <cell r="C935">
            <v>43.71087646484375</v>
          </cell>
          <cell r="D935">
            <v>163.1748046875</v>
          </cell>
          <cell r="E935">
            <v>46.606487274169922</v>
          </cell>
          <cell r="F935">
            <v>44.027969360351563</v>
          </cell>
        </row>
        <row r="936">
          <cell r="A936">
            <v>43510</v>
          </cell>
          <cell r="B936">
            <v>158.08479309082031</v>
          </cell>
          <cell r="C936">
            <v>44.005344390869141</v>
          </cell>
          <cell r="D936">
            <v>163.05546569824219</v>
          </cell>
          <cell r="E936">
            <v>46.660869598388672</v>
          </cell>
          <cell r="F936">
            <v>44.010887145996087</v>
          </cell>
        </row>
        <row r="937">
          <cell r="A937">
            <v>43511</v>
          </cell>
          <cell r="B937">
            <v>157.66844177246091</v>
          </cell>
          <cell r="C937">
            <v>44.741500854492188</v>
          </cell>
          <cell r="D937">
            <v>161.6133728027344</v>
          </cell>
          <cell r="E937">
            <v>46.878391265869141</v>
          </cell>
          <cell r="F937">
            <v>44.360801696777337</v>
          </cell>
        </row>
        <row r="938">
          <cell r="A938">
            <v>43515</v>
          </cell>
          <cell r="B938">
            <v>159.2148742675781</v>
          </cell>
          <cell r="C938">
            <v>44.516330718994141</v>
          </cell>
          <cell r="D938">
            <v>161.40452575683591</v>
          </cell>
          <cell r="E938">
            <v>47.150321960449219</v>
          </cell>
          <cell r="F938">
            <v>44.386402130126953</v>
          </cell>
        </row>
        <row r="939">
          <cell r="A939">
            <v>43516</v>
          </cell>
          <cell r="B939">
            <v>157.16285705566409</v>
          </cell>
          <cell r="C939">
            <v>44.507667541503913</v>
          </cell>
          <cell r="D939">
            <v>161.67304992675781</v>
          </cell>
          <cell r="E939">
            <v>46.923717498779297</v>
          </cell>
          <cell r="F939">
            <v>44.761909484863281</v>
          </cell>
        </row>
        <row r="940">
          <cell r="A940">
            <v>43517</v>
          </cell>
          <cell r="B940">
            <v>158.24339294433591</v>
          </cell>
          <cell r="C940">
            <v>44.524990081787109</v>
          </cell>
          <cell r="D940">
            <v>159.1667785644531</v>
          </cell>
          <cell r="E940">
            <v>47.231891632080078</v>
          </cell>
          <cell r="F940">
            <v>44.676567077636719</v>
          </cell>
        </row>
        <row r="941">
          <cell r="A941">
            <v>43518</v>
          </cell>
          <cell r="B941">
            <v>159.90879821777341</v>
          </cell>
          <cell r="C941">
            <v>45.460350036621087</v>
          </cell>
          <cell r="D941">
            <v>161.0067138671875</v>
          </cell>
          <cell r="E941">
            <v>47.567253112792969</v>
          </cell>
          <cell r="F941">
            <v>45.333702087402337</v>
          </cell>
        </row>
        <row r="942">
          <cell r="A942">
            <v>43521</v>
          </cell>
          <cell r="B942">
            <v>159.95835876464841</v>
          </cell>
          <cell r="C942">
            <v>45.988651275634773</v>
          </cell>
          <cell r="D942">
            <v>163.7218017578125</v>
          </cell>
          <cell r="E942">
            <v>47.639762878417969</v>
          </cell>
          <cell r="F942">
            <v>45.222759246826172</v>
          </cell>
        </row>
        <row r="943">
          <cell r="A943">
            <v>43522</v>
          </cell>
          <cell r="B943">
            <v>161.5841064453125</v>
          </cell>
          <cell r="C943">
            <v>46.101242065429688</v>
          </cell>
          <cell r="D943">
            <v>163.2344970703125</v>
          </cell>
          <cell r="E943">
            <v>47.676013946533203</v>
          </cell>
          <cell r="F943">
            <v>45.256885528564453</v>
          </cell>
        </row>
        <row r="944">
          <cell r="A944">
            <v>43523</v>
          </cell>
          <cell r="B944">
            <v>161.70306396484381</v>
          </cell>
          <cell r="C944">
            <v>46.109901428222663</v>
          </cell>
          <cell r="D944">
            <v>161.92170715332031</v>
          </cell>
          <cell r="E944">
            <v>47.476615905761719</v>
          </cell>
          <cell r="F944">
            <v>45.265415191650391</v>
          </cell>
        </row>
        <row r="945">
          <cell r="A945">
            <v>43524</v>
          </cell>
          <cell r="B945">
            <v>162.22846984863281</v>
          </cell>
          <cell r="C945">
            <v>45.867404937744141</v>
          </cell>
          <cell r="D945">
            <v>160.56910705566409</v>
          </cell>
          <cell r="E945">
            <v>47.250030517578118</v>
          </cell>
          <cell r="F945">
            <v>45.564117431640618</v>
          </cell>
        </row>
        <row r="946">
          <cell r="A946">
            <v>43525</v>
          </cell>
          <cell r="B946">
            <v>163.100830078125</v>
          </cell>
          <cell r="C946">
            <v>46.161876678466797</v>
          </cell>
          <cell r="D946">
            <v>161.39457702636719</v>
          </cell>
          <cell r="E946">
            <v>47.594448089599609</v>
          </cell>
          <cell r="F946">
            <v>46.255393981933587</v>
          </cell>
        </row>
        <row r="947">
          <cell r="A947">
            <v>43528</v>
          </cell>
          <cell r="B947">
            <v>157.12321472167969</v>
          </cell>
          <cell r="C947">
            <v>46.716163635253913</v>
          </cell>
          <cell r="D947">
            <v>166.4568176269531</v>
          </cell>
          <cell r="E947">
            <v>47.168445587158203</v>
          </cell>
          <cell r="F947">
            <v>45.896953582763672</v>
          </cell>
        </row>
        <row r="948">
          <cell r="A948">
            <v>43529</v>
          </cell>
          <cell r="B948">
            <v>155.60650634765619</v>
          </cell>
          <cell r="C948">
            <v>46.490970611572273</v>
          </cell>
          <cell r="D948">
            <v>170.32557678222659</v>
          </cell>
          <cell r="E948">
            <v>47.458480834960938</v>
          </cell>
          <cell r="F948">
            <v>46.033504486083977</v>
          </cell>
        </row>
        <row r="949">
          <cell r="A949">
            <v>43530</v>
          </cell>
          <cell r="B949">
            <v>155.42802429199219</v>
          </cell>
          <cell r="C949">
            <v>45.858737945556641</v>
          </cell>
          <cell r="D949">
            <v>171.56874084472659</v>
          </cell>
          <cell r="E949">
            <v>47.449417114257813</v>
          </cell>
          <cell r="F949">
            <v>47.311252593994141</v>
          </cell>
        </row>
        <row r="950">
          <cell r="A950">
            <v>43531</v>
          </cell>
          <cell r="B950">
            <v>154.24839782714841</v>
          </cell>
          <cell r="C950">
            <v>45.555610656738281</v>
          </cell>
          <cell r="D950">
            <v>168.20719909667969</v>
          </cell>
          <cell r="E950">
            <v>47.65789794921875</v>
          </cell>
          <cell r="F950">
            <v>46.646469116210938</v>
          </cell>
        </row>
        <row r="951">
          <cell r="A951">
            <v>43532</v>
          </cell>
          <cell r="B951">
            <v>153.71308898925781</v>
          </cell>
          <cell r="C951">
            <v>45.451694488525391</v>
          </cell>
          <cell r="D951">
            <v>168.67466735839841</v>
          </cell>
          <cell r="E951">
            <v>47.830108642578118</v>
          </cell>
          <cell r="F951">
            <v>46.214797973632813</v>
          </cell>
        </row>
        <row r="952">
          <cell r="A952">
            <v>43535</v>
          </cell>
          <cell r="B952">
            <v>156.28057861328119</v>
          </cell>
          <cell r="C952">
            <v>46.205173492431641</v>
          </cell>
          <cell r="D952">
            <v>171.13117980957031</v>
          </cell>
          <cell r="E952">
            <v>47.73040771484375</v>
          </cell>
          <cell r="F952">
            <v>46.922756195068359</v>
          </cell>
        </row>
        <row r="953">
          <cell r="A953">
            <v>43536</v>
          </cell>
          <cell r="B953">
            <v>156.90510559082031</v>
          </cell>
          <cell r="C953">
            <v>46.395706176757813</v>
          </cell>
          <cell r="D953">
            <v>170.98197937011719</v>
          </cell>
          <cell r="E953">
            <v>47.8572998046875</v>
          </cell>
          <cell r="F953">
            <v>47.345794677734382</v>
          </cell>
        </row>
        <row r="954">
          <cell r="A954">
            <v>43537</v>
          </cell>
          <cell r="B954">
            <v>158.42182922363281</v>
          </cell>
          <cell r="C954">
            <v>47.088573455810547</v>
          </cell>
          <cell r="D954">
            <v>172.424072265625</v>
          </cell>
          <cell r="E954">
            <v>48.092952728271477</v>
          </cell>
          <cell r="F954">
            <v>47.820625305175781</v>
          </cell>
        </row>
        <row r="955">
          <cell r="A955">
            <v>43538</v>
          </cell>
          <cell r="B955">
            <v>159.27433776855469</v>
          </cell>
          <cell r="C955">
            <v>46.283123016357422</v>
          </cell>
          <cell r="D955">
            <v>169.24153137207031</v>
          </cell>
          <cell r="E955">
            <v>48.083904266357422</v>
          </cell>
          <cell r="F955">
            <v>47.829261779785163</v>
          </cell>
        </row>
        <row r="956">
          <cell r="A956">
            <v>43539</v>
          </cell>
          <cell r="B956">
            <v>160.10704040527341</v>
          </cell>
          <cell r="C956">
            <v>47.053932189941413</v>
          </cell>
          <cell r="D956">
            <v>165.0743713378906</v>
          </cell>
          <cell r="E956">
            <v>47.984188079833977</v>
          </cell>
          <cell r="F956">
            <v>48.865276336669922</v>
          </cell>
        </row>
        <row r="957">
          <cell r="A957">
            <v>43542</v>
          </cell>
          <cell r="B957">
            <v>160.5432434082031</v>
          </cell>
          <cell r="C957">
            <v>46.854728698730469</v>
          </cell>
          <cell r="D957">
            <v>159.5944519042969</v>
          </cell>
          <cell r="E957">
            <v>48.455509185791023</v>
          </cell>
          <cell r="F957">
            <v>49.0638427734375</v>
          </cell>
        </row>
        <row r="958">
          <cell r="A958">
            <v>43543</v>
          </cell>
          <cell r="B958">
            <v>162.50602722167969</v>
          </cell>
          <cell r="C958">
            <v>46.915363311767578</v>
          </cell>
          <cell r="D958">
            <v>160.6884460449219</v>
          </cell>
          <cell r="E958">
            <v>48.981224060058587</v>
          </cell>
          <cell r="F958">
            <v>49.184703826904297</v>
          </cell>
        </row>
        <row r="959">
          <cell r="A959">
            <v>43544</v>
          </cell>
          <cell r="B959">
            <v>162.08967590332031</v>
          </cell>
          <cell r="C959">
            <v>46.612224578857422</v>
          </cell>
          <cell r="D959">
            <v>164.537353515625</v>
          </cell>
          <cell r="E959">
            <v>47.7122802734375</v>
          </cell>
          <cell r="F959">
            <v>49.348743438720703</v>
          </cell>
        </row>
        <row r="960">
          <cell r="A960">
            <v>43545</v>
          </cell>
          <cell r="B960">
            <v>165.4997863769531</v>
          </cell>
          <cell r="C960">
            <v>47.322410583496087</v>
          </cell>
          <cell r="D960">
            <v>165.17384338378909</v>
          </cell>
          <cell r="E960">
            <v>48.981224060058587</v>
          </cell>
          <cell r="F960">
            <v>49.875381469726563</v>
          </cell>
        </row>
        <row r="961">
          <cell r="A961">
            <v>43546</v>
          </cell>
          <cell r="B961">
            <v>160.09712219238281</v>
          </cell>
          <cell r="C961">
            <v>46.127220153808587</v>
          </cell>
          <cell r="D961">
            <v>163.4433288574219</v>
          </cell>
          <cell r="E961">
            <v>47.830108642578118</v>
          </cell>
          <cell r="F961">
            <v>49.055206298828118</v>
          </cell>
        </row>
        <row r="962">
          <cell r="A962">
            <v>43549</v>
          </cell>
          <cell r="B962">
            <v>159.4825134277344</v>
          </cell>
          <cell r="C962">
            <v>45.711509704589837</v>
          </cell>
          <cell r="D962">
            <v>165.3826904296875</v>
          </cell>
          <cell r="E962">
            <v>47.802932739257813</v>
          </cell>
          <cell r="F962">
            <v>48.899803161621087</v>
          </cell>
        </row>
        <row r="963">
          <cell r="A963">
            <v>43550</v>
          </cell>
          <cell r="B963">
            <v>158.015380859375</v>
          </cell>
          <cell r="C963">
            <v>46.283123016357422</v>
          </cell>
          <cell r="D963">
            <v>166.7651062011719</v>
          </cell>
          <cell r="E963">
            <v>48.292369842529297</v>
          </cell>
          <cell r="F963">
            <v>50.073959350585938</v>
          </cell>
        </row>
        <row r="964">
          <cell r="A964">
            <v>43551</v>
          </cell>
          <cell r="B964">
            <v>153.7725830078125</v>
          </cell>
          <cell r="C964">
            <v>46.040618896484382</v>
          </cell>
          <cell r="D964">
            <v>164.96498107910159</v>
          </cell>
          <cell r="E964">
            <v>47.866359710693359</v>
          </cell>
          <cell r="F964">
            <v>49.132915496826172</v>
          </cell>
        </row>
        <row r="965">
          <cell r="A965">
            <v>43552</v>
          </cell>
          <cell r="B965">
            <v>153.83204650878909</v>
          </cell>
          <cell r="C965">
            <v>45.997310638427727</v>
          </cell>
          <cell r="D965">
            <v>164.646728515625</v>
          </cell>
          <cell r="E965">
            <v>48.210781097412109</v>
          </cell>
          <cell r="F965">
            <v>48.822109222412109</v>
          </cell>
        </row>
        <row r="966">
          <cell r="A966">
            <v>43553</v>
          </cell>
          <cell r="B966">
            <v>156.99432373046881</v>
          </cell>
          <cell r="C966">
            <v>46.50830078125</v>
          </cell>
          <cell r="D966">
            <v>165.780517578125</v>
          </cell>
          <cell r="E966">
            <v>48.682109832763672</v>
          </cell>
          <cell r="F966">
            <v>49.236507415771477</v>
          </cell>
        </row>
        <row r="967">
          <cell r="A967">
            <v>43556</v>
          </cell>
          <cell r="B967">
            <v>159.77992248535159</v>
          </cell>
          <cell r="C967">
            <v>47.209823608398438</v>
          </cell>
          <cell r="D967">
            <v>167.77955627441409</v>
          </cell>
          <cell r="E967">
            <v>49.470668792724609</v>
          </cell>
          <cell r="F967">
            <v>49.909915924072273</v>
          </cell>
        </row>
        <row r="968">
          <cell r="A968">
            <v>43557</v>
          </cell>
          <cell r="B968">
            <v>159.11573791503909</v>
          </cell>
          <cell r="C968">
            <v>47.079910278320313</v>
          </cell>
          <cell r="D968">
            <v>173.2495422363281</v>
          </cell>
          <cell r="E968">
            <v>49.080924987792969</v>
          </cell>
          <cell r="F968">
            <v>50.151657104492188</v>
          </cell>
        </row>
        <row r="969">
          <cell r="A969">
            <v>43558</v>
          </cell>
          <cell r="B969">
            <v>161.2074279785156</v>
          </cell>
          <cell r="C969">
            <v>48.049911499023438</v>
          </cell>
          <cell r="D969">
            <v>172.5931396484375</v>
          </cell>
          <cell r="E969">
            <v>48.999351501464837</v>
          </cell>
          <cell r="F969">
            <v>49.797687530517578</v>
          </cell>
        </row>
        <row r="970">
          <cell r="A970">
            <v>43559</v>
          </cell>
          <cell r="B970">
            <v>157.1430358886719</v>
          </cell>
          <cell r="C970">
            <v>48.430988311767578</v>
          </cell>
          <cell r="D970">
            <v>175.05961608886719</v>
          </cell>
          <cell r="E970">
            <v>48.781810760498047</v>
          </cell>
          <cell r="F970">
            <v>49.953090667724609</v>
          </cell>
        </row>
        <row r="971">
          <cell r="A971">
            <v>43560</v>
          </cell>
          <cell r="B971">
            <v>157.18269348144531</v>
          </cell>
          <cell r="C971">
            <v>48.153846740722663</v>
          </cell>
          <cell r="D971">
            <v>174.76124572753909</v>
          </cell>
          <cell r="E971">
            <v>48.881523132324219</v>
          </cell>
          <cell r="F971">
            <v>50.065330505371087</v>
          </cell>
        </row>
        <row r="972">
          <cell r="A972">
            <v>43563</v>
          </cell>
          <cell r="B972">
            <v>157.09346008300781</v>
          </cell>
          <cell r="C972">
            <v>48.223133087158203</v>
          </cell>
          <cell r="D972">
            <v>173.9755554199219</v>
          </cell>
          <cell r="E972">
            <v>48.691177368164063</v>
          </cell>
          <cell r="F972">
            <v>49.866756439208977</v>
          </cell>
        </row>
        <row r="973">
          <cell r="A973">
            <v>43564</v>
          </cell>
          <cell r="B973">
            <v>155.60650634765619</v>
          </cell>
          <cell r="C973">
            <v>47.911350250244141</v>
          </cell>
          <cell r="D973">
            <v>176.611083984375</v>
          </cell>
          <cell r="E973">
            <v>48.790874481201172</v>
          </cell>
          <cell r="F973">
            <v>49.590480804443359</v>
          </cell>
        </row>
        <row r="974">
          <cell r="A974">
            <v>43565</v>
          </cell>
          <cell r="B974">
            <v>158.84808349609381</v>
          </cell>
          <cell r="C974">
            <v>48.283767700195313</v>
          </cell>
          <cell r="D974">
            <v>176.84980773925781</v>
          </cell>
          <cell r="E974">
            <v>49.136859893798828</v>
          </cell>
          <cell r="F974">
            <v>48.632179260253913</v>
          </cell>
        </row>
        <row r="975">
          <cell r="A975">
            <v>43566</v>
          </cell>
          <cell r="B975">
            <v>159.33381652832031</v>
          </cell>
          <cell r="C975">
            <v>48.327053070068359</v>
          </cell>
          <cell r="D975">
            <v>176.5414733886719</v>
          </cell>
          <cell r="E975">
            <v>48.97296142578125</v>
          </cell>
          <cell r="F975">
            <v>48.260944366455078</v>
          </cell>
        </row>
        <row r="976">
          <cell r="A976">
            <v>43567</v>
          </cell>
          <cell r="B976">
            <v>159.31401062011719</v>
          </cell>
          <cell r="C976">
            <v>48.864028930664063</v>
          </cell>
          <cell r="D976">
            <v>178.1228332519531</v>
          </cell>
          <cell r="E976">
            <v>49.619380950927727</v>
          </cell>
          <cell r="F976">
            <v>49.167442321777337</v>
          </cell>
        </row>
        <row r="977">
          <cell r="A977">
            <v>43570</v>
          </cell>
          <cell r="B977">
            <v>158.69938659667969</v>
          </cell>
          <cell r="C977">
            <v>48.742774963378913</v>
          </cell>
          <cell r="D977">
            <v>178.66981506347659</v>
          </cell>
          <cell r="E977">
            <v>49.737754821777337</v>
          </cell>
          <cell r="F977">
            <v>49.366008758544922</v>
          </cell>
        </row>
        <row r="978">
          <cell r="A978">
            <v>43571</v>
          </cell>
          <cell r="B978">
            <v>157.31156921386719</v>
          </cell>
          <cell r="C978">
            <v>49.115192413330078</v>
          </cell>
          <cell r="D978">
            <v>177.89405822753909</v>
          </cell>
          <cell r="E978">
            <v>49.701324462890618</v>
          </cell>
          <cell r="F978">
            <v>60.822586059570313</v>
          </cell>
        </row>
        <row r="979">
          <cell r="A979">
            <v>43572</v>
          </cell>
          <cell r="B979">
            <v>153.99064636230469</v>
          </cell>
          <cell r="C979">
            <v>50.717430114746087</v>
          </cell>
          <cell r="D979">
            <v>177.80455017089841</v>
          </cell>
          <cell r="E979">
            <v>49.601173400878913</v>
          </cell>
          <cell r="F979">
            <v>68.27325439453125</v>
          </cell>
        </row>
        <row r="980">
          <cell r="A980">
            <v>43573</v>
          </cell>
          <cell r="B980">
            <v>154.63499450683591</v>
          </cell>
          <cell r="C980">
            <v>50.656806945800781</v>
          </cell>
          <cell r="D980">
            <v>177.3072814941406</v>
          </cell>
          <cell r="E980">
            <v>49.637603759765618</v>
          </cell>
          <cell r="F980">
            <v>68.972557067871094</v>
          </cell>
        </row>
        <row r="981">
          <cell r="A981">
            <v>43577</v>
          </cell>
          <cell r="B981">
            <v>157.38092041015619</v>
          </cell>
          <cell r="C981">
            <v>50.942607879638672</v>
          </cell>
          <cell r="D981">
            <v>180.4500427246094</v>
          </cell>
          <cell r="E981">
            <v>49.728641510009773</v>
          </cell>
          <cell r="F981">
            <v>70.768302917480469</v>
          </cell>
        </row>
        <row r="982">
          <cell r="A982">
            <v>43578</v>
          </cell>
          <cell r="B982">
            <v>159.8294677734375</v>
          </cell>
          <cell r="C982">
            <v>50.907966613769531</v>
          </cell>
          <cell r="D982">
            <v>182.77726745605469</v>
          </cell>
          <cell r="E982">
            <v>50.019985198974609</v>
          </cell>
          <cell r="F982">
            <v>74.869209289550781</v>
          </cell>
        </row>
        <row r="983">
          <cell r="A983">
            <v>43579</v>
          </cell>
          <cell r="B983">
            <v>158.1739807128906</v>
          </cell>
          <cell r="C983">
            <v>50.856006622314453</v>
          </cell>
          <cell r="D983">
            <v>181.58381652832031</v>
          </cell>
          <cell r="E983">
            <v>50.238494873046882</v>
          </cell>
          <cell r="F983">
            <v>74.96417236328125</v>
          </cell>
        </row>
        <row r="984">
          <cell r="A984">
            <v>43580</v>
          </cell>
          <cell r="B984">
            <v>161.6733093261719</v>
          </cell>
          <cell r="C984">
            <v>49.894664764404297</v>
          </cell>
          <cell r="D984">
            <v>192.20555114746091</v>
          </cell>
          <cell r="E984">
            <v>50.083717346191413</v>
          </cell>
          <cell r="F984">
            <v>73.444664001464844</v>
          </cell>
        </row>
        <row r="985">
          <cell r="A985">
            <v>43581</v>
          </cell>
          <cell r="B985">
            <v>164.5184020996094</v>
          </cell>
          <cell r="C985">
            <v>45.408382415771477</v>
          </cell>
          <cell r="D985">
            <v>190.44520568847659</v>
          </cell>
          <cell r="E985">
            <v>50.447895050048828</v>
          </cell>
          <cell r="F985">
            <v>74.800117492675781</v>
          </cell>
        </row>
        <row r="986">
          <cell r="A986">
            <v>43584</v>
          </cell>
          <cell r="B986">
            <v>163.92359924316409</v>
          </cell>
          <cell r="C986">
            <v>44.265167236328118</v>
          </cell>
          <cell r="D986">
            <v>193.71726989746091</v>
          </cell>
          <cell r="E986">
            <v>50.147449493408203</v>
          </cell>
          <cell r="F986">
            <v>75.326759338378906</v>
          </cell>
        </row>
        <row r="987">
          <cell r="A987">
            <v>43585</v>
          </cell>
          <cell r="B987">
            <v>163.9136962890625</v>
          </cell>
          <cell r="C987">
            <v>44.204536437988281</v>
          </cell>
          <cell r="D987">
            <v>192.3447570800781</v>
          </cell>
          <cell r="E987">
            <v>50.375064849853523</v>
          </cell>
          <cell r="F987">
            <v>74.359817504882813</v>
          </cell>
        </row>
        <row r="988">
          <cell r="A988">
            <v>43586</v>
          </cell>
          <cell r="B988">
            <v>160.74150085449219</v>
          </cell>
          <cell r="C988">
            <v>43.962032318115227</v>
          </cell>
          <cell r="D988">
            <v>191.976806640625</v>
          </cell>
          <cell r="E988">
            <v>49.965343475341797</v>
          </cell>
          <cell r="F988">
            <v>74.567024230957031</v>
          </cell>
        </row>
        <row r="989">
          <cell r="A989">
            <v>43587</v>
          </cell>
          <cell r="B989">
            <v>160.42425537109381</v>
          </cell>
          <cell r="C989">
            <v>43.780158996582031</v>
          </cell>
          <cell r="D989">
            <v>191.4795227050781</v>
          </cell>
          <cell r="E989">
            <v>49.710430145263672</v>
          </cell>
          <cell r="F989">
            <v>75.231796264648438</v>
          </cell>
        </row>
        <row r="990">
          <cell r="A990">
            <v>43588</v>
          </cell>
          <cell r="B990">
            <v>161.92115783691409</v>
          </cell>
          <cell r="C990">
            <v>44.819454193115227</v>
          </cell>
          <cell r="D990">
            <v>194.40348815917969</v>
          </cell>
          <cell r="E990">
            <v>49.883415222167969</v>
          </cell>
          <cell r="F990">
            <v>77.087989807128906</v>
          </cell>
        </row>
        <row r="991">
          <cell r="A991">
            <v>43591</v>
          </cell>
          <cell r="B991">
            <v>161.08845520019531</v>
          </cell>
          <cell r="C991">
            <v>44.632110595703118</v>
          </cell>
          <cell r="D991">
            <v>192.82215881347659</v>
          </cell>
          <cell r="E991">
            <v>49.938034057617188</v>
          </cell>
          <cell r="F991">
            <v>76.19012451171875</v>
          </cell>
        </row>
        <row r="992">
          <cell r="A992">
            <v>43592</v>
          </cell>
          <cell r="B992">
            <v>155.53709411621091</v>
          </cell>
          <cell r="C992">
            <v>43.987277984619141</v>
          </cell>
          <cell r="D992">
            <v>188.7345886230469</v>
          </cell>
          <cell r="E992">
            <v>49.164169311523438</v>
          </cell>
          <cell r="F992">
            <v>73.556884765625</v>
          </cell>
        </row>
        <row r="993">
          <cell r="A993">
            <v>43593</v>
          </cell>
          <cell r="B993">
            <v>155.4974365234375</v>
          </cell>
          <cell r="C993">
            <v>42.906784057617188</v>
          </cell>
          <cell r="D993">
            <v>188.5058288574219</v>
          </cell>
          <cell r="E993">
            <v>49.155063629150391</v>
          </cell>
          <cell r="F993">
            <v>72.987098693847656</v>
          </cell>
        </row>
        <row r="994">
          <cell r="A994">
            <v>43594</v>
          </cell>
          <cell r="B994">
            <v>154.95222473144531</v>
          </cell>
          <cell r="C994">
            <v>40.623756408691413</v>
          </cell>
          <cell r="D994">
            <v>187.62071228027341</v>
          </cell>
          <cell r="E994">
            <v>49.391773223876953</v>
          </cell>
          <cell r="F994">
            <v>72.330986022949219</v>
          </cell>
        </row>
        <row r="995">
          <cell r="A995">
            <v>43595</v>
          </cell>
          <cell r="B995">
            <v>158.5506896972656</v>
          </cell>
          <cell r="C995">
            <v>40.257774353027337</v>
          </cell>
          <cell r="D995">
            <v>187.3123779296875</v>
          </cell>
          <cell r="E995">
            <v>49.755958557128913</v>
          </cell>
          <cell r="F995">
            <v>74.109458923339844</v>
          </cell>
        </row>
        <row r="996">
          <cell r="A996">
            <v>43598</v>
          </cell>
          <cell r="B996">
            <v>151.8196716308594</v>
          </cell>
          <cell r="C996">
            <v>39.002986907958977</v>
          </cell>
          <cell r="D996">
            <v>180.54949951171881</v>
          </cell>
          <cell r="E996">
            <v>48.645210266113281</v>
          </cell>
          <cell r="F996">
            <v>72.425941467285156</v>
          </cell>
        </row>
        <row r="997">
          <cell r="A997">
            <v>43599</v>
          </cell>
          <cell r="B997">
            <v>156.69694519042969</v>
          </cell>
          <cell r="C997">
            <v>39.360244750976563</v>
          </cell>
          <cell r="D997">
            <v>179.74391174316409</v>
          </cell>
          <cell r="E997">
            <v>49.282524108886719</v>
          </cell>
          <cell r="F997">
            <v>74.359817504882813</v>
          </cell>
        </row>
        <row r="998">
          <cell r="A998">
            <v>43600</v>
          </cell>
          <cell r="B998">
            <v>153.71308898925781</v>
          </cell>
          <cell r="C998">
            <v>39.752388000488281</v>
          </cell>
          <cell r="D998">
            <v>185.25367736816409</v>
          </cell>
          <cell r="E998">
            <v>49.674007415771477</v>
          </cell>
          <cell r="F998">
            <v>74.472053527832031</v>
          </cell>
        </row>
        <row r="999">
          <cell r="A999">
            <v>43601</v>
          </cell>
          <cell r="B999">
            <v>157.10337829589841</v>
          </cell>
          <cell r="C999">
            <v>39.673946380615227</v>
          </cell>
          <cell r="D999">
            <v>185.96974182128909</v>
          </cell>
          <cell r="E999">
            <v>49.746849060058587</v>
          </cell>
          <cell r="F999">
            <v>71.493515014648438</v>
          </cell>
        </row>
        <row r="1000">
          <cell r="A1000">
            <v>43602</v>
          </cell>
          <cell r="B1000">
            <v>153.22734069824219</v>
          </cell>
          <cell r="C1000">
            <v>39.116264343261719</v>
          </cell>
          <cell r="D1000">
            <v>184.28898620605469</v>
          </cell>
          <cell r="E1000">
            <v>49.619380950927727</v>
          </cell>
          <cell r="F1000">
            <v>70.362525939941406</v>
          </cell>
        </row>
        <row r="1001">
          <cell r="A1001">
            <v>43605</v>
          </cell>
          <cell r="B1001">
            <v>154.62507629394531</v>
          </cell>
          <cell r="C1001">
            <v>37.957332611083977</v>
          </cell>
          <cell r="D1001">
            <v>181.7230529785156</v>
          </cell>
          <cell r="E1001">
            <v>48.854610443115227</v>
          </cell>
          <cell r="F1001">
            <v>66.149429321289063</v>
          </cell>
        </row>
        <row r="1002">
          <cell r="A1002">
            <v>43606</v>
          </cell>
          <cell r="B1002">
            <v>154.42681884765619</v>
          </cell>
          <cell r="C1002">
            <v>38.741569519042969</v>
          </cell>
          <cell r="D1002">
            <v>183.8116149902344</v>
          </cell>
          <cell r="E1002">
            <v>49.318931579589837</v>
          </cell>
          <cell r="F1002">
            <v>67.125015258789063</v>
          </cell>
        </row>
        <row r="1003">
          <cell r="A1003">
            <v>43607</v>
          </cell>
          <cell r="B1003">
            <v>156.2706604003906</v>
          </cell>
          <cell r="C1003">
            <v>38.340744018554688</v>
          </cell>
          <cell r="D1003">
            <v>184.3088684082031</v>
          </cell>
          <cell r="E1003">
            <v>49.346248626708977</v>
          </cell>
          <cell r="F1003">
            <v>59.838367462158203</v>
          </cell>
        </row>
        <row r="1004">
          <cell r="A1004">
            <v>43608</v>
          </cell>
          <cell r="B1004">
            <v>152.37480163574219</v>
          </cell>
          <cell r="C1004">
            <v>38.802570343017578</v>
          </cell>
          <cell r="D1004">
            <v>179.8831481933594</v>
          </cell>
          <cell r="E1004">
            <v>48.326553344726563</v>
          </cell>
          <cell r="F1004">
            <v>58.931865692138672</v>
          </cell>
        </row>
        <row r="1005">
          <cell r="A1005">
            <v>43609</v>
          </cell>
          <cell r="B1005">
            <v>153.16783142089841</v>
          </cell>
          <cell r="C1005">
            <v>38.837436676025391</v>
          </cell>
          <cell r="D1005">
            <v>180.0721130371094</v>
          </cell>
          <cell r="E1005">
            <v>48.044315338134773</v>
          </cell>
          <cell r="F1005">
            <v>57.162006378173828</v>
          </cell>
        </row>
        <row r="1006">
          <cell r="A1006">
            <v>43613</v>
          </cell>
          <cell r="B1006">
            <v>153.84196472167969</v>
          </cell>
          <cell r="C1006">
            <v>37.966049194335938</v>
          </cell>
          <cell r="D1006">
            <v>183.30436706542969</v>
          </cell>
          <cell r="E1006">
            <v>47.115653991699219</v>
          </cell>
          <cell r="F1006">
            <v>56.436801910400391</v>
          </cell>
        </row>
        <row r="1007">
          <cell r="A1007">
            <v>43614</v>
          </cell>
          <cell r="B1007">
            <v>151.56193542480469</v>
          </cell>
          <cell r="C1007">
            <v>38.541160583496087</v>
          </cell>
          <cell r="D1007">
            <v>181.1959533691406</v>
          </cell>
          <cell r="E1007">
            <v>47.061023712158203</v>
          </cell>
          <cell r="F1007">
            <v>56.77349853515625</v>
          </cell>
        </row>
        <row r="1008">
          <cell r="A1008">
            <v>43615</v>
          </cell>
          <cell r="B1008">
            <v>154.3078918457031</v>
          </cell>
          <cell r="C1008">
            <v>38.976840972900391</v>
          </cell>
          <cell r="D1008">
            <v>182.01145935058591</v>
          </cell>
          <cell r="E1008">
            <v>47.088336944580078</v>
          </cell>
          <cell r="F1008">
            <v>57.490077972412109</v>
          </cell>
        </row>
        <row r="1009">
          <cell r="A1009">
            <v>43616</v>
          </cell>
          <cell r="B1009">
            <v>150.09478759765619</v>
          </cell>
          <cell r="C1009">
            <v>38.375598907470703</v>
          </cell>
          <cell r="D1009">
            <v>176.501708984375</v>
          </cell>
          <cell r="E1009">
            <v>46.068634033203118</v>
          </cell>
          <cell r="F1009">
            <v>57.688648223876953</v>
          </cell>
        </row>
        <row r="1010">
          <cell r="A1010">
            <v>43619</v>
          </cell>
          <cell r="B1010">
            <v>143.839599609375</v>
          </cell>
          <cell r="C1010">
            <v>37.870185852050781</v>
          </cell>
          <cell r="D1010">
            <v>163.2543640136719</v>
          </cell>
          <cell r="E1010">
            <v>45.740882873535163</v>
          </cell>
          <cell r="F1010">
            <v>57.550518035888672</v>
          </cell>
        </row>
        <row r="1011">
          <cell r="A1011">
            <v>43620</v>
          </cell>
          <cell r="B1011">
            <v>149.49998474121091</v>
          </cell>
          <cell r="C1011">
            <v>39.029129028320313</v>
          </cell>
          <cell r="D1011">
            <v>166.58610534667969</v>
          </cell>
          <cell r="E1011">
            <v>47.361480712890618</v>
          </cell>
          <cell r="F1011">
            <v>59.095897674560547</v>
          </cell>
        </row>
        <row r="1012">
          <cell r="A1012">
            <v>43621</v>
          </cell>
          <cell r="B1012">
            <v>157.063720703125</v>
          </cell>
          <cell r="C1012">
            <v>38.819999694824219</v>
          </cell>
          <cell r="D1012">
            <v>167.25244140625</v>
          </cell>
          <cell r="E1012">
            <v>47.434314727783203</v>
          </cell>
          <cell r="F1012">
            <v>58.390193939208977</v>
          </cell>
        </row>
        <row r="1013">
          <cell r="A1013">
            <v>43622</v>
          </cell>
          <cell r="B1013">
            <v>157.9261474609375</v>
          </cell>
          <cell r="C1013">
            <v>39.299259185791023</v>
          </cell>
          <cell r="D1013">
            <v>167.41157531738281</v>
          </cell>
          <cell r="E1013">
            <v>47.880424499511719</v>
          </cell>
          <cell r="F1013">
            <v>58.886791229248047</v>
          </cell>
        </row>
        <row r="1014">
          <cell r="A1014">
            <v>43623</v>
          </cell>
          <cell r="B1014">
            <v>159.869140625</v>
          </cell>
          <cell r="C1014">
            <v>40.109634399414063</v>
          </cell>
          <cell r="D1014">
            <v>172.4041748046875</v>
          </cell>
          <cell r="E1014">
            <v>48.490436553955078</v>
          </cell>
          <cell r="F1014">
            <v>59.845169067382813</v>
          </cell>
        </row>
        <row r="1015">
          <cell r="A1015">
            <v>43626</v>
          </cell>
          <cell r="B1015">
            <v>151.4627990722656</v>
          </cell>
          <cell r="C1015">
            <v>40.780597686767578</v>
          </cell>
          <cell r="D1015">
            <v>173.86614990234381</v>
          </cell>
          <cell r="E1015">
            <v>49.173271179199219</v>
          </cell>
          <cell r="F1015">
            <v>61.456962585449219</v>
          </cell>
        </row>
        <row r="1016">
          <cell r="A1016">
            <v>43627</v>
          </cell>
          <cell r="B1016">
            <v>148.8457336425781</v>
          </cell>
          <cell r="C1016">
            <v>40.824176788330078</v>
          </cell>
          <cell r="D1016">
            <v>177.1282653808594</v>
          </cell>
          <cell r="E1016">
            <v>49.109542846679688</v>
          </cell>
          <cell r="F1016">
            <v>62.066802978515618</v>
          </cell>
        </row>
        <row r="1017">
          <cell r="A1017">
            <v>43628</v>
          </cell>
          <cell r="B1017">
            <v>149.9659118652344</v>
          </cell>
          <cell r="C1017">
            <v>40.362350463867188</v>
          </cell>
          <cell r="D1017">
            <v>174.0849609375</v>
          </cell>
          <cell r="E1017">
            <v>48.818191528320313</v>
          </cell>
          <cell r="F1017">
            <v>60.629264831542969</v>
          </cell>
        </row>
        <row r="1018">
          <cell r="A1018">
            <v>43629</v>
          </cell>
          <cell r="B1018">
            <v>150.025390625</v>
          </cell>
          <cell r="C1018">
            <v>40.693466186523438</v>
          </cell>
          <cell r="D1018">
            <v>176.501708984375</v>
          </cell>
          <cell r="E1018">
            <v>49.018489837646477</v>
          </cell>
          <cell r="F1018">
            <v>60.925495147705078</v>
          </cell>
        </row>
        <row r="1019">
          <cell r="A1019">
            <v>43630</v>
          </cell>
          <cell r="B1019">
            <v>148.70695495605469</v>
          </cell>
          <cell r="C1019">
            <v>40.249057769775391</v>
          </cell>
          <cell r="D1019">
            <v>180.34065246582031</v>
          </cell>
          <cell r="E1019">
            <v>48.508640289306641</v>
          </cell>
          <cell r="F1019">
            <v>59.871303558349609</v>
          </cell>
        </row>
        <row r="1020">
          <cell r="A1020">
            <v>43633</v>
          </cell>
          <cell r="B1020">
            <v>148.9844970703125</v>
          </cell>
          <cell r="C1020">
            <v>40.19677734375</v>
          </cell>
          <cell r="D1020">
            <v>187.9787292480469</v>
          </cell>
          <cell r="E1020">
            <v>48.372077941894531</v>
          </cell>
          <cell r="F1020">
            <v>60.211074829101563</v>
          </cell>
        </row>
        <row r="1021">
          <cell r="A1021">
            <v>43634</v>
          </cell>
          <cell r="B1021">
            <v>149.28190612792969</v>
          </cell>
          <cell r="C1021">
            <v>41.277290344238281</v>
          </cell>
          <cell r="D1021">
            <v>187.44166564941409</v>
          </cell>
          <cell r="E1021">
            <v>48.162670135498047</v>
          </cell>
          <cell r="F1021">
            <v>62.694095611572273</v>
          </cell>
        </row>
        <row r="1022">
          <cell r="A1022">
            <v>43635</v>
          </cell>
          <cell r="B1022">
            <v>152.80108642578119</v>
          </cell>
          <cell r="C1022">
            <v>41.015869140625</v>
          </cell>
          <cell r="D1022">
            <v>186.45709228515619</v>
          </cell>
          <cell r="E1022">
            <v>47.962379455566413</v>
          </cell>
          <cell r="F1022">
            <v>62.554691314697273</v>
          </cell>
        </row>
        <row r="1023">
          <cell r="A1023">
            <v>43636</v>
          </cell>
          <cell r="B1023">
            <v>155.83448791503909</v>
          </cell>
          <cell r="C1023">
            <v>41.120433807373047</v>
          </cell>
          <cell r="D1023">
            <v>188.49591064453119</v>
          </cell>
          <cell r="E1023">
            <v>51.886398315429688</v>
          </cell>
          <cell r="F1023">
            <v>63.373664855957031</v>
          </cell>
        </row>
        <row r="1024">
          <cell r="A1024">
            <v>43637</v>
          </cell>
          <cell r="B1024">
            <v>155.47761535644531</v>
          </cell>
          <cell r="C1024">
            <v>41.355712890625</v>
          </cell>
          <cell r="D1024">
            <v>190.0971374511719</v>
          </cell>
          <cell r="E1024">
            <v>51.094310760498047</v>
          </cell>
          <cell r="F1024">
            <v>63.356258392333977</v>
          </cell>
        </row>
        <row r="1025">
          <cell r="A1025">
            <v>43640</v>
          </cell>
          <cell r="B1025">
            <v>151.23480224609381</v>
          </cell>
          <cell r="C1025">
            <v>41.503849029541023</v>
          </cell>
          <cell r="D1025">
            <v>191.5491638183594</v>
          </cell>
          <cell r="E1025">
            <v>51.658798217773438</v>
          </cell>
          <cell r="F1025">
            <v>63.739593505859382</v>
          </cell>
        </row>
        <row r="1026">
          <cell r="A1026">
            <v>43641</v>
          </cell>
          <cell r="B1026">
            <v>148.0427551269531</v>
          </cell>
          <cell r="C1026">
            <v>40.824176788330078</v>
          </cell>
          <cell r="D1026">
            <v>187.80967712402341</v>
          </cell>
          <cell r="E1026">
            <v>51.048789978027337</v>
          </cell>
          <cell r="F1026">
            <v>63.208152770996087</v>
          </cell>
        </row>
        <row r="1027">
          <cell r="A1027">
            <v>43642</v>
          </cell>
          <cell r="B1027">
            <v>147.74537658691409</v>
          </cell>
          <cell r="C1027">
            <v>41.991813659667969</v>
          </cell>
          <cell r="D1027">
            <v>186.6360778808594</v>
          </cell>
          <cell r="E1027">
            <v>51.585945129394531</v>
          </cell>
          <cell r="F1027">
            <v>65.299095153808594</v>
          </cell>
        </row>
        <row r="1028">
          <cell r="A1028">
            <v>43643</v>
          </cell>
          <cell r="B1028">
            <v>149.38105773925781</v>
          </cell>
          <cell r="C1028">
            <v>41.355712890625</v>
          </cell>
          <cell r="D1028">
            <v>188.466064453125</v>
          </cell>
          <cell r="E1028">
            <v>51.686103820800781</v>
          </cell>
          <cell r="F1028">
            <v>65.717277526855469</v>
          </cell>
        </row>
        <row r="1029">
          <cell r="A1029">
            <v>43644</v>
          </cell>
          <cell r="B1029">
            <v>150.4119873046875</v>
          </cell>
          <cell r="C1029">
            <v>41.712974548339837</v>
          </cell>
          <cell r="D1029">
            <v>191.94697570800781</v>
          </cell>
          <cell r="E1029">
            <v>51.868194580078118</v>
          </cell>
          <cell r="F1029">
            <v>66.274887084960938</v>
          </cell>
        </row>
        <row r="1030">
          <cell r="A1030">
            <v>43647</v>
          </cell>
          <cell r="B1030">
            <v>152.72175598144531</v>
          </cell>
          <cell r="C1030">
            <v>41.869834899902337</v>
          </cell>
          <cell r="D1030">
            <v>191.94697570800781</v>
          </cell>
          <cell r="E1030">
            <v>52.815059661865227</v>
          </cell>
          <cell r="F1030">
            <v>67.538169860839844</v>
          </cell>
        </row>
        <row r="1031">
          <cell r="A1031">
            <v>43648</v>
          </cell>
          <cell r="B1031">
            <v>152.78125</v>
          </cell>
          <cell r="C1031">
            <v>41.930824279785163</v>
          </cell>
          <cell r="D1031">
            <v>193.93605041503909</v>
          </cell>
          <cell r="E1031">
            <v>53.224758148193359</v>
          </cell>
          <cell r="F1031">
            <v>67.093841552734375</v>
          </cell>
        </row>
        <row r="1032">
          <cell r="A1032">
            <v>43649</v>
          </cell>
          <cell r="B1032">
            <v>154.23847961425781</v>
          </cell>
          <cell r="C1032">
            <v>42.279384613037109</v>
          </cell>
          <cell r="D1032">
            <v>196.1240539550781</v>
          </cell>
          <cell r="E1032">
            <v>53.588924407958977</v>
          </cell>
          <cell r="F1032">
            <v>66.762779235839844</v>
          </cell>
        </row>
        <row r="1033">
          <cell r="A1033">
            <v>43651</v>
          </cell>
          <cell r="B1033">
            <v>153.23724365234381</v>
          </cell>
          <cell r="C1033">
            <v>41.895973205566413</v>
          </cell>
          <cell r="D1033">
            <v>195.3283996582031</v>
          </cell>
          <cell r="E1033">
            <v>53.971336364746087</v>
          </cell>
          <cell r="F1033">
            <v>66.788894653320313</v>
          </cell>
        </row>
        <row r="1034">
          <cell r="A1034">
            <v>43654</v>
          </cell>
          <cell r="B1034">
            <v>151.48262023925781</v>
          </cell>
          <cell r="C1034">
            <v>41.669418334960938</v>
          </cell>
          <cell r="D1034">
            <v>194.69190979003909</v>
          </cell>
          <cell r="E1034">
            <v>54.198925018310547</v>
          </cell>
          <cell r="F1034">
            <v>66.762779235839844</v>
          </cell>
        </row>
        <row r="1035">
          <cell r="A1035">
            <v>43655</v>
          </cell>
          <cell r="B1035">
            <v>152.61271667480469</v>
          </cell>
          <cell r="C1035">
            <v>41.608417510986328</v>
          </cell>
          <cell r="D1035">
            <v>198.1230773925781</v>
          </cell>
          <cell r="E1035">
            <v>54.262657165527337</v>
          </cell>
          <cell r="F1035">
            <v>66.693069458007813</v>
          </cell>
        </row>
        <row r="1036">
          <cell r="A1036">
            <v>43656</v>
          </cell>
          <cell r="B1036">
            <v>154.91258239746091</v>
          </cell>
          <cell r="C1036">
            <v>42.009250640869141</v>
          </cell>
          <cell r="D1036">
            <v>201.62385559082031</v>
          </cell>
          <cell r="E1036">
            <v>54.763412475585938</v>
          </cell>
          <cell r="F1036">
            <v>64.785049438476563</v>
          </cell>
        </row>
        <row r="1037">
          <cell r="A1037">
            <v>43657</v>
          </cell>
          <cell r="B1037">
            <v>157.51971435546881</v>
          </cell>
          <cell r="C1037">
            <v>42.349094390869141</v>
          </cell>
          <cell r="D1037">
            <v>200.132080078125</v>
          </cell>
          <cell r="E1037">
            <v>54.617748260498047</v>
          </cell>
          <cell r="F1037">
            <v>64.218765258789063</v>
          </cell>
        </row>
        <row r="1038">
          <cell r="A1038">
            <v>43658</v>
          </cell>
          <cell r="B1038">
            <v>156.70684814453119</v>
          </cell>
          <cell r="C1038">
            <v>43.499313354492188</v>
          </cell>
          <cell r="D1038">
            <v>203.752197265625</v>
          </cell>
          <cell r="E1038">
            <v>54.453861236572273</v>
          </cell>
          <cell r="F1038">
            <v>65.255546569824219</v>
          </cell>
        </row>
        <row r="1039">
          <cell r="A1039">
            <v>43661</v>
          </cell>
          <cell r="B1039">
            <v>158.2632141113281</v>
          </cell>
          <cell r="C1039">
            <v>43.673591613769531</v>
          </cell>
          <cell r="D1039">
            <v>202.7974548339844</v>
          </cell>
          <cell r="E1039">
            <v>54.198925018310547</v>
          </cell>
          <cell r="F1039">
            <v>65.717277526855469</v>
          </cell>
        </row>
        <row r="1040">
          <cell r="A1040">
            <v>43662</v>
          </cell>
          <cell r="B1040">
            <v>155.76512145996091</v>
          </cell>
          <cell r="C1040">
            <v>42.845771789550781</v>
          </cell>
          <cell r="D1040">
            <v>202.7278137207031</v>
          </cell>
          <cell r="E1040">
            <v>53.577323913574219</v>
          </cell>
          <cell r="F1040">
            <v>65.926383972167969</v>
          </cell>
        </row>
        <row r="1041">
          <cell r="A1041">
            <v>43663</v>
          </cell>
          <cell r="B1041">
            <v>156.86546325683591</v>
          </cell>
          <cell r="C1041">
            <v>43.037490844726563</v>
          </cell>
          <cell r="D1041">
            <v>200.69895935058591</v>
          </cell>
          <cell r="E1041">
            <v>53.010566711425781</v>
          </cell>
          <cell r="F1041">
            <v>66.004814147949219</v>
          </cell>
        </row>
        <row r="1042">
          <cell r="A1042">
            <v>43664</v>
          </cell>
          <cell r="B1042">
            <v>156.6076965332031</v>
          </cell>
          <cell r="C1042">
            <v>43.516738891601563</v>
          </cell>
          <cell r="D1042">
            <v>199.68450927734381</v>
          </cell>
          <cell r="E1042">
            <v>53.129402160644531</v>
          </cell>
          <cell r="F1042">
            <v>64.793777465820313</v>
          </cell>
        </row>
        <row r="1043">
          <cell r="A1043">
            <v>43665</v>
          </cell>
          <cell r="B1043">
            <v>155.38838195800781</v>
          </cell>
          <cell r="C1043">
            <v>43.804294586181641</v>
          </cell>
          <cell r="D1043">
            <v>197.27772521972659</v>
          </cell>
          <cell r="E1043">
            <v>52.599212646484382</v>
          </cell>
          <cell r="F1043">
            <v>65.3426513671875</v>
          </cell>
        </row>
        <row r="1044">
          <cell r="A1044">
            <v>43668</v>
          </cell>
          <cell r="B1044">
            <v>156.33015441894531</v>
          </cell>
          <cell r="C1044">
            <v>44.745376586914063</v>
          </cell>
          <cell r="D1044">
            <v>201.21612548828119</v>
          </cell>
          <cell r="E1044">
            <v>52.654045104980469</v>
          </cell>
          <cell r="F1044">
            <v>66.170326232910156</v>
          </cell>
        </row>
        <row r="1045">
          <cell r="A1045">
            <v>43669</v>
          </cell>
          <cell r="B1045">
            <v>154.89274597167969</v>
          </cell>
          <cell r="C1045">
            <v>45.093936920166023</v>
          </cell>
          <cell r="D1045">
            <v>201.25592041015619</v>
          </cell>
          <cell r="E1045">
            <v>52.516929626464837</v>
          </cell>
          <cell r="F1045">
            <v>64.575973510742188</v>
          </cell>
        </row>
        <row r="1046">
          <cell r="A1046">
            <v>43670</v>
          </cell>
          <cell r="B1046">
            <v>158.36235046386719</v>
          </cell>
          <cell r="C1046">
            <v>46.113460540771477</v>
          </cell>
          <cell r="D1046">
            <v>203.5433654785156</v>
          </cell>
          <cell r="E1046">
            <v>53.120262145996087</v>
          </cell>
          <cell r="F1046">
            <v>66.100631713867188</v>
          </cell>
        </row>
        <row r="1047">
          <cell r="A1047">
            <v>43671</v>
          </cell>
          <cell r="B1047">
            <v>157.96580505371091</v>
          </cell>
          <cell r="C1047">
            <v>45.451210021972663</v>
          </cell>
          <cell r="D1047">
            <v>199.6148986816406</v>
          </cell>
          <cell r="E1047">
            <v>53.284797668457031</v>
          </cell>
          <cell r="F1047">
            <v>65.647598266601563</v>
          </cell>
        </row>
        <row r="1048">
          <cell r="A1048">
            <v>43672</v>
          </cell>
          <cell r="B1048">
            <v>158.5804138183594</v>
          </cell>
          <cell r="C1048">
            <v>44.954517364501953</v>
          </cell>
          <cell r="D1048">
            <v>198.66014099121091</v>
          </cell>
          <cell r="E1048">
            <v>53.476776123046882</v>
          </cell>
          <cell r="F1048">
            <v>65.534332275390625</v>
          </cell>
        </row>
        <row r="1049">
          <cell r="A1049">
            <v>43675</v>
          </cell>
          <cell r="B1049">
            <v>154.85310363769531</v>
          </cell>
          <cell r="C1049">
            <v>45.756187438964837</v>
          </cell>
          <cell r="D1049">
            <v>194.8709411621094</v>
          </cell>
          <cell r="E1049">
            <v>53.074565887451172</v>
          </cell>
          <cell r="F1049">
            <v>65.316513061523438</v>
          </cell>
        </row>
        <row r="1050">
          <cell r="A1050">
            <v>43676</v>
          </cell>
          <cell r="B1050">
            <v>155.59660339355469</v>
          </cell>
          <cell r="C1050">
            <v>45.050373077392578</v>
          </cell>
          <cell r="D1050">
            <v>195.96492004394531</v>
          </cell>
          <cell r="E1050">
            <v>52.553501129150391</v>
          </cell>
          <cell r="F1050">
            <v>65.177116394042969</v>
          </cell>
        </row>
        <row r="1051">
          <cell r="A1051">
            <v>43677</v>
          </cell>
          <cell r="B1051">
            <v>153.1579284667969</v>
          </cell>
          <cell r="C1051">
            <v>44.048274993896477</v>
          </cell>
          <cell r="D1051">
            <v>193.1702575683594</v>
          </cell>
          <cell r="E1051">
            <v>51.465679168701172</v>
          </cell>
          <cell r="F1051">
            <v>63.739593505859382</v>
          </cell>
        </row>
        <row r="1052">
          <cell r="A1052">
            <v>43678</v>
          </cell>
          <cell r="B1052">
            <v>149.49998474121091</v>
          </cell>
          <cell r="C1052">
            <v>43.133335113525391</v>
          </cell>
          <cell r="D1052">
            <v>191.6784362792969</v>
          </cell>
          <cell r="E1052">
            <v>51.081741333007813</v>
          </cell>
          <cell r="F1052">
            <v>62.031959533691413</v>
          </cell>
        </row>
        <row r="1053">
          <cell r="A1053">
            <v>43679</v>
          </cell>
          <cell r="B1053">
            <v>144.43437194824219</v>
          </cell>
          <cell r="C1053">
            <v>42.418804168701172</v>
          </cell>
          <cell r="D1053">
            <v>187.9886779785156</v>
          </cell>
          <cell r="E1053">
            <v>51.045181274414063</v>
          </cell>
          <cell r="F1053">
            <v>61.988388061523438</v>
          </cell>
        </row>
        <row r="1054">
          <cell r="A1054">
            <v>43682</v>
          </cell>
          <cell r="B1054">
            <v>141.57939147949219</v>
          </cell>
          <cell r="C1054">
            <v>40.928737640380859</v>
          </cell>
          <cell r="D1054">
            <v>180.73846435546881</v>
          </cell>
          <cell r="E1054">
            <v>49.143787384033203</v>
          </cell>
          <cell r="F1054">
            <v>59.941005706787109</v>
          </cell>
        </row>
        <row r="1055">
          <cell r="A1055">
            <v>43683</v>
          </cell>
          <cell r="B1055">
            <v>141.5595703125</v>
          </cell>
          <cell r="C1055">
            <v>41.196311950683587</v>
          </cell>
          <cell r="D1055">
            <v>183.50328063964841</v>
          </cell>
          <cell r="E1055">
            <v>49.326606750488281</v>
          </cell>
          <cell r="F1055">
            <v>59.392112731933587</v>
          </cell>
        </row>
        <row r="1056">
          <cell r="A1056">
            <v>43684</v>
          </cell>
          <cell r="B1056">
            <v>140.40965270996091</v>
          </cell>
          <cell r="C1056">
            <v>40.994537353515618</v>
          </cell>
          <cell r="D1056">
            <v>184.1398010253906</v>
          </cell>
          <cell r="E1056">
            <v>48.759853363037109</v>
          </cell>
          <cell r="F1056">
            <v>60.4637451171875</v>
          </cell>
        </row>
        <row r="1057">
          <cell r="A1057">
            <v>43685</v>
          </cell>
          <cell r="B1057">
            <v>142.57072448730469</v>
          </cell>
          <cell r="C1057">
            <v>41.380535125732422</v>
          </cell>
          <cell r="D1057">
            <v>189.12245178222659</v>
          </cell>
          <cell r="E1057">
            <v>49.957363128662109</v>
          </cell>
          <cell r="F1057">
            <v>62.084224700927727</v>
          </cell>
        </row>
        <row r="1058">
          <cell r="A1058">
            <v>43686</v>
          </cell>
          <cell r="B1058">
            <v>142.12461853027341</v>
          </cell>
          <cell r="C1058">
            <v>40.336582183837891</v>
          </cell>
          <cell r="D1058">
            <v>186.8250732421875</v>
          </cell>
          <cell r="E1058">
            <v>49.271766662597663</v>
          </cell>
          <cell r="F1058">
            <v>62.293323516845703</v>
          </cell>
        </row>
        <row r="1059">
          <cell r="A1059">
            <v>43689</v>
          </cell>
          <cell r="B1059">
            <v>139.49763488769531</v>
          </cell>
          <cell r="C1059">
            <v>40.003223419189453</v>
          </cell>
          <cell r="D1059">
            <v>184.35859680175781</v>
          </cell>
          <cell r="E1059">
            <v>48.677574157714837</v>
          </cell>
          <cell r="F1059">
            <v>60.812225341796882</v>
          </cell>
        </row>
        <row r="1060">
          <cell r="A1060">
            <v>43690</v>
          </cell>
          <cell r="B1060">
            <v>142.63018798828119</v>
          </cell>
          <cell r="C1060">
            <v>41.091033935546882</v>
          </cell>
          <cell r="D1060">
            <v>187.42179870605469</v>
          </cell>
          <cell r="E1060">
            <v>49.335758209228523</v>
          </cell>
          <cell r="F1060">
            <v>62.885765075683587</v>
          </cell>
        </row>
        <row r="1061">
          <cell r="A1061">
            <v>43691</v>
          </cell>
          <cell r="B1061">
            <v>138.5063171386719</v>
          </cell>
          <cell r="C1061">
            <v>40.240093231201172</v>
          </cell>
          <cell r="D1061">
            <v>178.72947692871091</v>
          </cell>
          <cell r="E1061">
            <v>47.827434539794922</v>
          </cell>
          <cell r="F1061">
            <v>61.753158569335938</v>
          </cell>
        </row>
        <row r="1062">
          <cell r="A1062">
            <v>43692</v>
          </cell>
          <cell r="B1062">
            <v>140.89540100097659</v>
          </cell>
          <cell r="C1062">
            <v>40.090953826904297</v>
          </cell>
          <cell r="D1062">
            <v>181.59376525878909</v>
          </cell>
          <cell r="E1062">
            <v>48.074245452880859</v>
          </cell>
          <cell r="F1062">
            <v>61.997116088867188</v>
          </cell>
        </row>
        <row r="1063">
          <cell r="A1063">
            <v>43693</v>
          </cell>
          <cell r="B1063">
            <v>142.6401062011719</v>
          </cell>
          <cell r="C1063">
            <v>40.792758941650391</v>
          </cell>
          <cell r="D1063">
            <v>182.69770812988281</v>
          </cell>
          <cell r="E1063">
            <v>48.988376617431641</v>
          </cell>
          <cell r="F1063">
            <v>63.844150543212891</v>
          </cell>
        </row>
        <row r="1064">
          <cell r="A1064">
            <v>43696</v>
          </cell>
          <cell r="B1064">
            <v>142.4220275878906</v>
          </cell>
          <cell r="C1064">
            <v>41.43316650390625</v>
          </cell>
          <cell r="D1064">
            <v>185.15423583984381</v>
          </cell>
          <cell r="E1064">
            <v>49.244342803955078</v>
          </cell>
          <cell r="F1064">
            <v>65.229415893554688</v>
          </cell>
        </row>
        <row r="1065">
          <cell r="A1065">
            <v>43697</v>
          </cell>
          <cell r="B1065">
            <v>144.27577209472659</v>
          </cell>
          <cell r="C1065">
            <v>40.880485534667969</v>
          </cell>
          <cell r="D1065">
            <v>182.8070983886719</v>
          </cell>
          <cell r="E1065">
            <v>48.430763244628913</v>
          </cell>
          <cell r="F1065">
            <v>66.274887084960938</v>
          </cell>
        </row>
        <row r="1066">
          <cell r="A1066">
            <v>43698</v>
          </cell>
          <cell r="B1066">
            <v>146.09980773925781</v>
          </cell>
          <cell r="C1066">
            <v>41.362987518310547</v>
          </cell>
          <cell r="D1066">
            <v>182.5485534667969</v>
          </cell>
          <cell r="E1066">
            <v>48.668434143066413</v>
          </cell>
          <cell r="F1066">
            <v>66.823760986328125</v>
          </cell>
        </row>
        <row r="1067">
          <cell r="A1067">
            <v>43699</v>
          </cell>
          <cell r="B1067">
            <v>146.9523010253906</v>
          </cell>
          <cell r="C1067">
            <v>41.038387298583977</v>
          </cell>
          <cell r="D1067">
            <v>181.0467834472656</v>
          </cell>
          <cell r="E1067">
            <v>48.622726440429688</v>
          </cell>
          <cell r="F1067">
            <v>67.215812683105469</v>
          </cell>
        </row>
        <row r="1068">
          <cell r="A1068">
            <v>43700</v>
          </cell>
          <cell r="B1068">
            <v>150.25341796875</v>
          </cell>
          <cell r="C1068">
            <v>39.4417724609375</v>
          </cell>
          <cell r="D1068">
            <v>176.78016662597659</v>
          </cell>
          <cell r="E1068">
            <v>47.150981903076172</v>
          </cell>
          <cell r="F1068">
            <v>64.053215026855469</v>
          </cell>
        </row>
        <row r="1069">
          <cell r="A1069">
            <v>43703</v>
          </cell>
          <cell r="B1069">
            <v>153.79237365722659</v>
          </cell>
          <cell r="C1069">
            <v>39.968132019042969</v>
          </cell>
          <cell r="D1069">
            <v>179.37591552734381</v>
          </cell>
          <cell r="E1069">
            <v>47.653759002685547</v>
          </cell>
          <cell r="F1069">
            <v>63.52178955078125</v>
          </cell>
        </row>
        <row r="1070">
          <cell r="A1070">
            <v>43704</v>
          </cell>
          <cell r="B1070">
            <v>152.23603820800781</v>
          </cell>
          <cell r="C1070">
            <v>40.169898986816413</v>
          </cell>
          <cell r="D1070">
            <v>180.3108215332031</v>
          </cell>
          <cell r="E1070">
            <v>47.891426086425781</v>
          </cell>
          <cell r="F1070">
            <v>64.445274353027344</v>
          </cell>
        </row>
        <row r="1071">
          <cell r="A1071">
            <v>43705</v>
          </cell>
          <cell r="B1071">
            <v>150.51112365722659</v>
          </cell>
          <cell r="C1071">
            <v>40.169898986816413</v>
          </cell>
          <cell r="D1071">
            <v>180.76829528808591</v>
          </cell>
          <cell r="E1071">
            <v>47.489208221435547</v>
          </cell>
          <cell r="F1071">
            <v>64.776359558105469</v>
          </cell>
        </row>
        <row r="1072">
          <cell r="A1072">
            <v>43706</v>
          </cell>
          <cell r="B1072">
            <v>154.5755310058594</v>
          </cell>
          <cell r="C1072">
            <v>41.117355346679688</v>
          </cell>
          <cell r="D1072">
            <v>184.55751037597659</v>
          </cell>
          <cell r="E1072">
            <v>47.681171417236328</v>
          </cell>
          <cell r="F1072">
            <v>66.60595703125</v>
          </cell>
        </row>
        <row r="1073">
          <cell r="A1073">
            <v>43707</v>
          </cell>
          <cell r="B1073">
            <v>154.71430969238281</v>
          </cell>
          <cell r="C1073">
            <v>41.591068267822273</v>
          </cell>
          <cell r="D1073">
            <v>184.6569519042969</v>
          </cell>
          <cell r="E1073">
            <v>47.589756011962891</v>
          </cell>
          <cell r="F1073">
            <v>67.755973815917969</v>
          </cell>
        </row>
        <row r="1074">
          <cell r="A1074">
            <v>43711</v>
          </cell>
          <cell r="B1074">
            <v>151.40330505371091</v>
          </cell>
          <cell r="C1074">
            <v>41.213844299316413</v>
          </cell>
          <cell r="D1074">
            <v>181.39485168457031</v>
          </cell>
          <cell r="E1074">
            <v>47.434352874755859</v>
          </cell>
          <cell r="F1074">
            <v>65.447196960449219</v>
          </cell>
        </row>
        <row r="1075">
          <cell r="A1075">
            <v>43712</v>
          </cell>
          <cell r="B1075">
            <v>151.1356506347656</v>
          </cell>
          <cell r="C1075">
            <v>42.915737152099609</v>
          </cell>
          <cell r="D1075">
            <v>186.11895751953119</v>
          </cell>
          <cell r="E1075">
            <v>48.421619415283203</v>
          </cell>
          <cell r="F1075">
            <v>67.163528442382813</v>
          </cell>
        </row>
        <row r="1076">
          <cell r="A1076">
            <v>43713</v>
          </cell>
          <cell r="B1076">
            <v>152.43428039550781</v>
          </cell>
          <cell r="C1076">
            <v>43.950916290283203</v>
          </cell>
          <cell r="D1076">
            <v>189.85841369628909</v>
          </cell>
          <cell r="E1076">
            <v>49.2169189453125</v>
          </cell>
          <cell r="F1076">
            <v>68.818885803222656</v>
          </cell>
        </row>
        <row r="1077">
          <cell r="A1077">
            <v>43714</v>
          </cell>
          <cell r="B1077">
            <v>149.75773620605469</v>
          </cell>
          <cell r="C1077">
            <v>44.670272827148438</v>
          </cell>
          <cell r="D1077">
            <v>186.46702575683591</v>
          </cell>
          <cell r="E1077">
            <v>48.595302581787109</v>
          </cell>
          <cell r="F1077">
            <v>68.688209533691406</v>
          </cell>
        </row>
        <row r="1078">
          <cell r="A1078">
            <v>43717</v>
          </cell>
          <cell r="B1078">
            <v>148.24102783203119</v>
          </cell>
          <cell r="C1078">
            <v>45.258037567138672</v>
          </cell>
          <cell r="D1078">
            <v>187.73008728027341</v>
          </cell>
          <cell r="E1078">
            <v>49.856807708740227</v>
          </cell>
          <cell r="F1078">
            <v>68.139328002929688</v>
          </cell>
        </row>
        <row r="1079">
          <cell r="A1079">
            <v>43718</v>
          </cell>
          <cell r="B1079">
            <v>148.35008239746091</v>
          </cell>
          <cell r="C1079">
            <v>45.459804534912109</v>
          </cell>
          <cell r="D1079">
            <v>185.15423583984381</v>
          </cell>
          <cell r="E1079">
            <v>50.706958770751953</v>
          </cell>
          <cell r="F1079">
            <v>68.574935913085938</v>
          </cell>
        </row>
        <row r="1080">
          <cell r="A1080">
            <v>43719</v>
          </cell>
          <cell r="B1080">
            <v>152.75151062011719</v>
          </cell>
          <cell r="C1080">
            <v>46.310752868652337</v>
          </cell>
          <cell r="D1080">
            <v>187.4615783691406</v>
          </cell>
          <cell r="E1080">
            <v>51.456531524658203</v>
          </cell>
          <cell r="F1080">
            <v>70.164390563964844</v>
          </cell>
        </row>
        <row r="1081">
          <cell r="A1081">
            <v>43720</v>
          </cell>
          <cell r="B1081">
            <v>153.40577697753909</v>
          </cell>
          <cell r="C1081">
            <v>46.503746032714837</v>
          </cell>
          <cell r="D1081">
            <v>186.4471435546875</v>
          </cell>
          <cell r="E1081">
            <v>49.262619018554688</v>
          </cell>
          <cell r="F1081">
            <v>69.444313049316406</v>
          </cell>
        </row>
        <row r="1082">
          <cell r="A1082">
            <v>43721</v>
          </cell>
          <cell r="B1082">
            <v>151.6511535644531</v>
          </cell>
          <cell r="C1082">
            <v>46.0914306640625</v>
          </cell>
          <cell r="D1082">
            <v>186.1686706542969</v>
          </cell>
          <cell r="E1082">
            <v>49.134639739990227</v>
          </cell>
          <cell r="F1082">
            <v>68.855964660644531</v>
          </cell>
        </row>
        <row r="1083">
          <cell r="A1083">
            <v>43724</v>
          </cell>
          <cell r="B1083">
            <v>151.6808776855469</v>
          </cell>
          <cell r="C1083">
            <v>45.793159484863281</v>
          </cell>
          <cell r="D1083">
            <v>185.2039489746094</v>
          </cell>
          <cell r="E1083">
            <v>48.577011108398438</v>
          </cell>
          <cell r="F1083">
            <v>68.531028747558594</v>
          </cell>
        </row>
        <row r="1084">
          <cell r="A1084">
            <v>43725</v>
          </cell>
          <cell r="B1084">
            <v>151.4925537109375</v>
          </cell>
          <cell r="C1084">
            <v>45.5738525390625</v>
          </cell>
          <cell r="D1084">
            <v>187.0538024902344</v>
          </cell>
          <cell r="E1084">
            <v>48.3302001953125</v>
          </cell>
          <cell r="F1084">
            <v>69.101829528808594</v>
          </cell>
        </row>
        <row r="1085">
          <cell r="A1085">
            <v>43726</v>
          </cell>
          <cell r="B1085">
            <v>151.44297790527341</v>
          </cell>
          <cell r="C1085">
            <v>45.389633178710938</v>
          </cell>
          <cell r="D1085">
            <v>187.1134948730469</v>
          </cell>
          <cell r="E1085">
            <v>48.046821594238281</v>
          </cell>
          <cell r="F1085">
            <v>69.286247253417969</v>
          </cell>
        </row>
        <row r="1086">
          <cell r="A1086">
            <v>43727</v>
          </cell>
          <cell r="B1086">
            <v>152.2657775878906</v>
          </cell>
          <cell r="C1086">
            <v>45.240493774414063</v>
          </cell>
          <cell r="D1086">
            <v>189.10255432128909</v>
          </cell>
          <cell r="E1086">
            <v>48.787269592285163</v>
          </cell>
          <cell r="F1086">
            <v>68.697883605957031</v>
          </cell>
        </row>
        <row r="1087">
          <cell r="A1087">
            <v>43728</v>
          </cell>
          <cell r="B1087">
            <v>153.85185241699219</v>
          </cell>
          <cell r="C1087">
            <v>44.494815826416023</v>
          </cell>
          <cell r="D1087">
            <v>188.89369201660159</v>
          </cell>
          <cell r="E1087">
            <v>48.878688812255859</v>
          </cell>
          <cell r="F1087">
            <v>67.125984191894531</v>
          </cell>
        </row>
        <row r="1088">
          <cell r="A1088">
            <v>43731</v>
          </cell>
          <cell r="B1088">
            <v>153.306640625</v>
          </cell>
          <cell r="C1088">
            <v>44.652729034423828</v>
          </cell>
          <cell r="D1088">
            <v>185.8006896972656</v>
          </cell>
          <cell r="E1088">
            <v>49.381462097167969</v>
          </cell>
          <cell r="F1088">
            <v>67.828521728515625</v>
          </cell>
        </row>
        <row r="1089">
          <cell r="A1089">
            <v>43732</v>
          </cell>
          <cell r="B1089">
            <v>150.72923278808591</v>
          </cell>
          <cell r="C1089">
            <v>43.705284118652337</v>
          </cell>
          <cell r="D1089">
            <v>180.2909240722656</v>
          </cell>
          <cell r="E1089">
            <v>48.76898193359375</v>
          </cell>
          <cell r="F1089">
            <v>66.063430786132813</v>
          </cell>
        </row>
        <row r="1090">
          <cell r="A1090">
            <v>43733</v>
          </cell>
          <cell r="B1090">
            <v>151.66107177734381</v>
          </cell>
          <cell r="C1090">
            <v>44.757999420166023</v>
          </cell>
          <cell r="D1090">
            <v>181.80259704589841</v>
          </cell>
          <cell r="E1090">
            <v>49.2169189453125</v>
          </cell>
          <cell r="F1090">
            <v>67.846084594726563</v>
          </cell>
        </row>
        <row r="1091">
          <cell r="A1091">
            <v>43734</v>
          </cell>
          <cell r="B1091">
            <v>151.01670837402341</v>
          </cell>
          <cell r="C1091">
            <v>44.670272827148438</v>
          </cell>
          <cell r="D1091">
            <v>179.1272888183594</v>
          </cell>
          <cell r="E1091">
            <v>49.326606750488281</v>
          </cell>
          <cell r="F1091">
            <v>67.925086975097656</v>
          </cell>
        </row>
        <row r="1092">
          <cell r="A1092">
            <v>43735</v>
          </cell>
          <cell r="B1092">
            <v>146.97212219238281</v>
          </cell>
          <cell r="C1092">
            <v>44.547443389892578</v>
          </cell>
          <cell r="D1092">
            <v>176.13371276855469</v>
          </cell>
          <cell r="E1092">
            <v>49.445446014404297</v>
          </cell>
          <cell r="F1092">
            <v>67.292854309082031</v>
          </cell>
        </row>
        <row r="1093">
          <cell r="A1093">
            <v>43738</v>
          </cell>
          <cell r="B1093">
            <v>147.15058898925781</v>
          </cell>
          <cell r="C1093">
            <v>45.205398559570313</v>
          </cell>
          <cell r="D1093">
            <v>177.1083679199219</v>
          </cell>
          <cell r="E1093">
            <v>50.304729461669922</v>
          </cell>
          <cell r="F1093">
            <v>66.985481262207031</v>
          </cell>
        </row>
        <row r="1094">
          <cell r="A1094">
            <v>43739</v>
          </cell>
          <cell r="B1094">
            <v>146.40708923339841</v>
          </cell>
          <cell r="C1094">
            <v>44.529903411865227</v>
          </cell>
          <cell r="D1094">
            <v>174.85076904296881</v>
          </cell>
          <cell r="E1094">
            <v>49.180343627929688</v>
          </cell>
          <cell r="F1094">
            <v>66.274169921875</v>
          </cell>
        </row>
        <row r="1095">
          <cell r="A1095">
            <v>43740</v>
          </cell>
          <cell r="B1095">
            <v>142.96723937988281</v>
          </cell>
          <cell r="C1095">
            <v>43.328056335449219</v>
          </cell>
          <cell r="D1095">
            <v>173.6473693847656</v>
          </cell>
          <cell r="E1095">
            <v>48.586162567138672</v>
          </cell>
          <cell r="F1095">
            <v>64.974517822265625</v>
          </cell>
        </row>
        <row r="1096">
          <cell r="A1096">
            <v>43741</v>
          </cell>
          <cell r="B1096">
            <v>145.72308349609381</v>
          </cell>
          <cell r="C1096">
            <v>43.889514923095703</v>
          </cell>
          <cell r="D1096">
            <v>178.40129089355469</v>
          </cell>
          <cell r="E1096">
            <v>49.235195159912109</v>
          </cell>
          <cell r="F1096">
            <v>66.502494812011719</v>
          </cell>
        </row>
        <row r="1097">
          <cell r="A1097">
            <v>43742</v>
          </cell>
          <cell r="B1097">
            <v>146.74415588378909</v>
          </cell>
          <cell r="C1097">
            <v>44.670272827148438</v>
          </cell>
          <cell r="D1097">
            <v>179.46543884277341</v>
          </cell>
          <cell r="E1097">
            <v>50.405281066894531</v>
          </cell>
          <cell r="F1097">
            <v>68.048049926757813</v>
          </cell>
        </row>
        <row r="1098">
          <cell r="A1098">
            <v>43745</v>
          </cell>
          <cell r="B1098">
            <v>147.50746154785159</v>
          </cell>
          <cell r="C1098">
            <v>44.407089233398438</v>
          </cell>
          <cell r="D1098">
            <v>178.69964599609381</v>
          </cell>
          <cell r="E1098">
            <v>50.094490051269531</v>
          </cell>
          <cell r="F1098">
            <v>67.038177490234375</v>
          </cell>
        </row>
        <row r="1099">
          <cell r="A1099">
            <v>43746</v>
          </cell>
          <cell r="B1099">
            <v>144.64256286621091</v>
          </cell>
          <cell r="C1099">
            <v>43.626319885253913</v>
          </cell>
          <cell r="D1099">
            <v>176.78016662597659</v>
          </cell>
          <cell r="E1099">
            <v>49.408878326416023</v>
          </cell>
          <cell r="F1099">
            <v>63.973426818847663</v>
          </cell>
        </row>
        <row r="1100">
          <cell r="A1100">
            <v>43747</v>
          </cell>
          <cell r="B1100">
            <v>145.77265930175781</v>
          </cell>
          <cell r="C1100">
            <v>44.284267425537109</v>
          </cell>
          <cell r="D1100">
            <v>178.86871337890619</v>
          </cell>
          <cell r="E1100">
            <v>50.069992065429688</v>
          </cell>
          <cell r="F1100">
            <v>65.290657043457031</v>
          </cell>
        </row>
        <row r="1101">
          <cell r="A1101">
            <v>43748</v>
          </cell>
          <cell r="B1101">
            <v>145.13822937011719</v>
          </cell>
          <cell r="C1101">
            <v>44.836948394775391</v>
          </cell>
          <cell r="D1101">
            <v>179.0477600097656</v>
          </cell>
          <cell r="E1101">
            <v>50.95147705078125</v>
          </cell>
          <cell r="F1101">
            <v>65.835090637207031</v>
          </cell>
        </row>
        <row r="1102">
          <cell r="A1102">
            <v>43749</v>
          </cell>
          <cell r="B1102">
            <v>148.07249450683591</v>
          </cell>
          <cell r="C1102">
            <v>45.696670532226563</v>
          </cell>
          <cell r="D1102">
            <v>183.1850280761719</v>
          </cell>
          <cell r="E1102">
            <v>52.236965179443359</v>
          </cell>
          <cell r="F1102">
            <v>67.354293823242188</v>
          </cell>
        </row>
        <row r="1103">
          <cell r="A1103">
            <v>43752</v>
          </cell>
          <cell r="B1103">
            <v>148.07249450683591</v>
          </cell>
          <cell r="C1103">
            <v>45.301898956298828</v>
          </cell>
          <cell r="D1103">
            <v>182.27998352050781</v>
          </cell>
          <cell r="E1103">
            <v>51.842132568359382</v>
          </cell>
          <cell r="F1103">
            <v>67.003036499023438</v>
          </cell>
        </row>
        <row r="1104">
          <cell r="A1104">
            <v>43753</v>
          </cell>
          <cell r="B1104">
            <v>151.4132385253906</v>
          </cell>
          <cell r="C1104">
            <v>46.187938690185547</v>
          </cell>
          <cell r="D1104">
            <v>187.859375</v>
          </cell>
          <cell r="E1104">
            <v>51.741134643554688</v>
          </cell>
          <cell r="F1104">
            <v>68.337821960449219</v>
          </cell>
        </row>
        <row r="1105">
          <cell r="A1105">
            <v>43754</v>
          </cell>
          <cell r="B1105">
            <v>145.693359375</v>
          </cell>
          <cell r="C1105">
            <v>46.012481689453118</v>
          </cell>
          <cell r="D1105">
            <v>188.51580810546881</v>
          </cell>
          <cell r="E1105">
            <v>51.3095703125</v>
          </cell>
          <cell r="F1105">
            <v>68.697883605957031</v>
          </cell>
        </row>
        <row r="1106">
          <cell r="A1106">
            <v>43755</v>
          </cell>
          <cell r="B1106">
            <v>144.90031433105469</v>
          </cell>
          <cell r="C1106">
            <v>45.494895935058587</v>
          </cell>
          <cell r="D1106">
            <v>189.3511962890625</v>
          </cell>
          <cell r="E1106">
            <v>50.556644439697273</v>
          </cell>
          <cell r="F1106">
            <v>69.347702026367188</v>
          </cell>
        </row>
        <row r="1107">
          <cell r="A1107">
            <v>43756</v>
          </cell>
          <cell r="B1107">
            <v>142.83837890625</v>
          </cell>
          <cell r="C1107">
            <v>45.056259155273438</v>
          </cell>
          <cell r="D1107">
            <v>184.83599853515619</v>
          </cell>
          <cell r="E1107">
            <v>50.088356018066413</v>
          </cell>
          <cell r="F1107">
            <v>68.214889526367188</v>
          </cell>
        </row>
        <row r="1108">
          <cell r="A1108">
            <v>43759</v>
          </cell>
          <cell r="B1108">
            <v>143.29438781738281</v>
          </cell>
          <cell r="C1108">
            <v>45.731761932373047</v>
          </cell>
          <cell r="D1108">
            <v>188.7246398925781</v>
          </cell>
          <cell r="E1108">
            <v>50.620925903320313</v>
          </cell>
          <cell r="F1108">
            <v>69.356498718261719</v>
          </cell>
        </row>
        <row r="1109">
          <cell r="A1109">
            <v>43760</v>
          </cell>
          <cell r="B1109">
            <v>141.09364318847659</v>
          </cell>
          <cell r="C1109">
            <v>45.626483917236328</v>
          </cell>
          <cell r="D1109">
            <v>181.3451232910156</v>
          </cell>
          <cell r="E1109">
            <v>49.684341430664063</v>
          </cell>
          <cell r="F1109">
            <v>68.908622741699219</v>
          </cell>
        </row>
        <row r="1110">
          <cell r="A1110">
            <v>43761</v>
          </cell>
          <cell r="B1110">
            <v>143.86933898925781</v>
          </cell>
          <cell r="C1110">
            <v>45.372077941894531</v>
          </cell>
          <cell r="D1110">
            <v>185.13435363769531</v>
          </cell>
          <cell r="E1110">
            <v>49.702705383300781</v>
          </cell>
          <cell r="F1110">
            <v>67.828521728515625</v>
          </cell>
        </row>
        <row r="1111">
          <cell r="A1111">
            <v>43762</v>
          </cell>
          <cell r="B1111">
            <v>146.8333740234375</v>
          </cell>
          <cell r="C1111">
            <v>45.819484710693359</v>
          </cell>
          <cell r="D1111">
            <v>185.36309814453119</v>
          </cell>
          <cell r="E1111">
            <v>49.822074890136719</v>
          </cell>
          <cell r="F1111">
            <v>69.365264892578125</v>
          </cell>
        </row>
        <row r="1112">
          <cell r="A1112">
            <v>43763</v>
          </cell>
          <cell r="B1112">
            <v>149.18278503417969</v>
          </cell>
          <cell r="C1112">
            <v>49.530311584472663</v>
          </cell>
          <cell r="D1112">
            <v>186.86485290527341</v>
          </cell>
          <cell r="E1112">
            <v>49.739437103271477</v>
          </cell>
          <cell r="F1112">
            <v>70.4014892578125</v>
          </cell>
        </row>
        <row r="1113">
          <cell r="A1113">
            <v>43766</v>
          </cell>
          <cell r="B1113">
            <v>153.4454345703125</v>
          </cell>
          <cell r="C1113">
            <v>49.793495178222663</v>
          </cell>
          <cell r="D1113">
            <v>188.36659240722659</v>
          </cell>
          <cell r="E1113">
            <v>50.170989990234382</v>
          </cell>
          <cell r="F1113">
            <v>72.930557250976563</v>
          </cell>
        </row>
        <row r="1114">
          <cell r="A1114">
            <v>43767</v>
          </cell>
          <cell r="B1114">
            <v>153.7428283691406</v>
          </cell>
          <cell r="C1114">
            <v>49.425033569335938</v>
          </cell>
          <cell r="D1114">
            <v>188.27708435058591</v>
          </cell>
          <cell r="E1114">
            <v>50.317909240722663</v>
          </cell>
          <cell r="F1114">
            <v>71.709938049316406</v>
          </cell>
        </row>
        <row r="1115">
          <cell r="A1115">
            <v>43768</v>
          </cell>
          <cell r="B1115">
            <v>156.90510559082031</v>
          </cell>
          <cell r="C1115">
            <v>49.653121948242188</v>
          </cell>
          <cell r="D1115">
            <v>187.222900390625</v>
          </cell>
          <cell r="E1115">
            <v>50.363822937011719</v>
          </cell>
          <cell r="F1115">
            <v>71.516746520996094</v>
          </cell>
        </row>
        <row r="1116">
          <cell r="A1116">
            <v>43769</v>
          </cell>
          <cell r="B1116">
            <v>155.13067626953119</v>
          </cell>
          <cell r="C1116">
            <v>49.591709136962891</v>
          </cell>
          <cell r="D1116">
            <v>190.60432434082031</v>
          </cell>
          <cell r="E1116">
            <v>50.03326416015625</v>
          </cell>
          <cell r="F1116">
            <v>70.638587951660156</v>
          </cell>
        </row>
        <row r="1117">
          <cell r="A1117">
            <v>43770</v>
          </cell>
          <cell r="B1117">
            <v>158.35243225097659</v>
          </cell>
          <cell r="C1117">
            <v>49.574169158935547</v>
          </cell>
          <cell r="D1117">
            <v>192.56358337402341</v>
          </cell>
          <cell r="E1117">
            <v>50.501552581787109</v>
          </cell>
          <cell r="F1117">
            <v>73.396011352539063</v>
          </cell>
        </row>
        <row r="1118">
          <cell r="A1118">
            <v>43773</v>
          </cell>
          <cell r="B1118">
            <v>156.23103332519531</v>
          </cell>
          <cell r="C1118">
            <v>50.539161682128913</v>
          </cell>
          <cell r="D1118">
            <v>193.65760803222659</v>
          </cell>
          <cell r="E1118">
            <v>50.914749145507813</v>
          </cell>
          <cell r="F1118">
            <v>74.722000122070313</v>
          </cell>
        </row>
        <row r="1119">
          <cell r="A1119">
            <v>43774</v>
          </cell>
          <cell r="B1119">
            <v>156.7762451171875</v>
          </cell>
          <cell r="C1119">
            <v>50.486522674560547</v>
          </cell>
          <cell r="D1119">
            <v>193.259765625</v>
          </cell>
          <cell r="E1119">
            <v>51.116748809814453</v>
          </cell>
          <cell r="F1119">
            <v>75.046920776367188</v>
          </cell>
        </row>
        <row r="1120">
          <cell r="A1120">
            <v>43775</v>
          </cell>
          <cell r="B1120">
            <v>157.54945373535159</v>
          </cell>
          <cell r="C1120">
            <v>50.808486938476563</v>
          </cell>
          <cell r="D1120">
            <v>190.50486755371091</v>
          </cell>
          <cell r="E1120">
            <v>51.144294738769531</v>
          </cell>
          <cell r="F1120">
            <v>74.31805419921875</v>
          </cell>
        </row>
        <row r="1121">
          <cell r="A1121">
            <v>43776</v>
          </cell>
          <cell r="B1121">
            <v>158.114501953125</v>
          </cell>
          <cell r="C1121">
            <v>51.205425262451172</v>
          </cell>
          <cell r="D1121">
            <v>189.38102722167969</v>
          </cell>
          <cell r="E1121">
            <v>51.401386260986328</v>
          </cell>
          <cell r="F1121">
            <v>79.016189575195313</v>
          </cell>
        </row>
        <row r="1122">
          <cell r="A1122">
            <v>43777</v>
          </cell>
          <cell r="B1122">
            <v>159.71052551269531</v>
          </cell>
          <cell r="C1122">
            <v>51.399494171142578</v>
          </cell>
          <cell r="D1122">
            <v>189.79872131347659</v>
          </cell>
          <cell r="E1122">
            <v>51.86968994140625</v>
          </cell>
          <cell r="F1122">
            <v>82.572685241699219</v>
          </cell>
        </row>
        <row r="1123">
          <cell r="A1123">
            <v>43780</v>
          </cell>
          <cell r="B1123">
            <v>160.37469482421881</v>
          </cell>
          <cell r="C1123">
            <v>51.470050811767578</v>
          </cell>
          <cell r="D1123">
            <v>188.57545471191409</v>
          </cell>
          <cell r="E1123">
            <v>51.814594268798828</v>
          </cell>
          <cell r="F1123">
            <v>80.649528503417969</v>
          </cell>
        </row>
        <row r="1124">
          <cell r="A1124">
            <v>43781</v>
          </cell>
          <cell r="B1124">
            <v>161.44532775878909</v>
          </cell>
          <cell r="C1124">
            <v>51.337745666503913</v>
          </cell>
          <cell r="D1124">
            <v>193.408935546875</v>
          </cell>
          <cell r="E1124">
            <v>51.961513519287109</v>
          </cell>
          <cell r="F1124">
            <v>79.885536193847656</v>
          </cell>
        </row>
        <row r="1125">
          <cell r="A1125">
            <v>43782</v>
          </cell>
          <cell r="B1125">
            <v>161.18760681152341</v>
          </cell>
          <cell r="C1125">
            <v>51.064300537109382</v>
          </cell>
          <cell r="D1125">
            <v>192.1359558105469</v>
          </cell>
          <cell r="E1125">
            <v>51.612594604492188</v>
          </cell>
          <cell r="F1125">
            <v>79.446464538574219</v>
          </cell>
        </row>
        <row r="1126">
          <cell r="A1126">
            <v>43783</v>
          </cell>
          <cell r="B1126">
            <v>161.6336669921875</v>
          </cell>
          <cell r="C1126">
            <v>50.993728637695313</v>
          </cell>
          <cell r="D1126">
            <v>192.09614562988281</v>
          </cell>
          <cell r="E1126">
            <v>51.502391815185547</v>
          </cell>
          <cell r="F1126">
            <v>79.455253601074219</v>
          </cell>
        </row>
        <row r="1127">
          <cell r="A1127">
            <v>43784</v>
          </cell>
          <cell r="B1127">
            <v>161.79231262207031</v>
          </cell>
          <cell r="C1127">
            <v>51.126041412353523</v>
          </cell>
          <cell r="D1127">
            <v>194.03550720214841</v>
          </cell>
          <cell r="E1127">
            <v>51.805404663085938</v>
          </cell>
          <cell r="F1127">
            <v>79.745040893554688</v>
          </cell>
        </row>
        <row r="1128">
          <cell r="A1128">
            <v>43787</v>
          </cell>
          <cell r="B1128">
            <v>161.35609436035159</v>
          </cell>
          <cell r="C1128">
            <v>51.381851196289063</v>
          </cell>
          <cell r="D1128">
            <v>196.32298278808591</v>
          </cell>
          <cell r="E1128">
            <v>51.594223022460938</v>
          </cell>
          <cell r="F1128">
            <v>79.455253601074219</v>
          </cell>
        </row>
        <row r="1129">
          <cell r="A1129">
            <v>43788</v>
          </cell>
          <cell r="B1129">
            <v>162.53578186035159</v>
          </cell>
          <cell r="C1129">
            <v>51.470050811767578</v>
          </cell>
          <cell r="D1129">
            <v>198.23248291015619</v>
          </cell>
          <cell r="E1129">
            <v>51.667678833007813</v>
          </cell>
          <cell r="F1129">
            <v>77.242301940917969</v>
          </cell>
        </row>
        <row r="1130">
          <cell r="A1130">
            <v>43789</v>
          </cell>
          <cell r="B1130">
            <v>162.77369689941409</v>
          </cell>
          <cell r="C1130">
            <v>51.0731201171875</v>
          </cell>
          <cell r="D1130">
            <v>196.43235778808591</v>
          </cell>
          <cell r="E1130">
            <v>51.640140533447273</v>
          </cell>
          <cell r="F1130">
            <v>75.18743896484375</v>
          </cell>
        </row>
        <row r="1131">
          <cell r="A1131">
            <v>43790</v>
          </cell>
          <cell r="B1131">
            <v>161.46514892578119</v>
          </cell>
          <cell r="C1131">
            <v>51.355388641357422</v>
          </cell>
          <cell r="D1131">
            <v>196.85008239746091</v>
          </cell>
          <cell r="E1131">
            <v>51.630950927734382</v>
          </cell>
          <cell r="F1131">
            <v>74.739578247070313</v>
          </cell>
        </row>
        <row r="1132">
          <cell r="A1132">
            <v>43791</v>
          </cell>
          <cell r="B1132">
            <v>161.39573669433591</v>
          </cell>
          <cell r="C1132">
            <v>50.817310333251953</v>
          </cell>
          <cell r="D1132">
            <v>197.7352294921875</v>
          </cell>
          <cell r="E1132">
            <v>51.777866363525391</v>
          </cell>
          <cell r="F1132">
            <v>74.546371459960938</v>
          </cell>
        </row>
        <row r="1133">
          <cell r="A1133">
            <v>43794</v>
          </cell>
          <cell r="B1133">
            <v>160.3053283691406</v>
          </cell>
          <cell r="C1133">
            <v>51.875827789306641</v>
          </cell>
          <cell r="D1133">
            <v>198.6999206542969</v>
          </cell>
          <cell r="E1133">
            <v>51.933956146240227</v>
          </cell>
          <cell r="F1133">
            <v>74.897636413574219</v>
          </cell>
        </row>
        <row r="1134">
          <cell r="A1134">
            <v>43795</v>
          </cell>
          <cell r="B1134">
            <v>161.12809753417969</v>
          </cell>
          <cell r="C1134">
            <v>51.955223083496087</v>
          </cell>
          <cell r="D1134">
            <v>197.88441467285159</v>
          </cell>
          <cell r="E1134">
            <v>51.888046264648438</v>
          </cell>
          <cell r="F1134">
            <v>74.31805419921875</v>
          </cell>
        </row>
        <row r="1135">
          <cell r="A1135">
            <v>43796</v>
          </cell>
          <cell r="B1135">
            <v>160.10704040527341</v>
          </cell>
          <cell r="C1135">
            <v>51.611198425292969</v>
          </cell>
          <cell r="D1135">
            <v>200.89787292480469</v>
          </cell>
          <cell r="E1135">
            <v>51.979866027832031</v>
          </cell>
          <cell r="F1135">
            <v>74.467353820800781</v>
          </cell>
        </row>
        <row r="1136">
          <cell r="A1136">
            <v>43798</v>
          </cell>
          <cell r="B1136">
            <v>161.4750671386719</v>
          </cell>
          <cell r="C1136">
            <v>51.205425262451172</v>
          </cell>
          <cell r="D1136">
            <v>200.5398254394531</v>
          </cell>
          <cell r="E1136">
            <v>51.548309326171882</v>
          </cell>
          <cell r="F1136">
            <v>73.369621276855469</v>
          </cell>
        </row>
        <row r="1137">
          <cell r="A1137">
            <v>43801</v>
          </cell>
          <cell r="B1137">
            <v>159.60148620605469</v>
          </cell>
          <cell r="C1137">
            <v>50.861419677734382</v>
          </cell>
          <cell r="D1137">
            <v>198.61041259765619</v>
          </cell>
          <cell r="E1137">
            <v>50.896373748779297</v>
          </cell>
          <cell r="F1137">
            <v>72.403678894042969</v>
          </cell>
        </row>
        <row r="1138">
          <cell r="A1138">
            <v>43802</v>
          </cell>
          <cell r="B1138">
            <v>160.1665344238281</v>
          </cell>
          <cell r="C1138">
            <v>49.458885192871087</v>
          </cell>
          <cell r="D1138">
            <v>197.7352294921875</v>
          </cell>
          <cell r="E1138">
            <v>50.125080108642578</v>
          </cell>
          <cell r="F1138">
            <v>70.76153564453125</v>
          </cell>
        </row>
        <row r="1139">
          <cell r="A1139">
            <v>43803</v>
          </cell>
          <cell r="B1139">
            <v>155.0711669921875</v>
          </cell>
          <cell r="C1139">
            <v>49.414791107177727</v>
          </cell>
          <cell r="D1139">
            <v>197.6258239746094</v>
          </cell>
          <cell r="E1139">
            <v>49.959808349609382</v>
          </cell>
          <cell r="F1139">
            <v>72.637641906738281</v>
          </cell>
        </row>
        <row r="1140">
          <cell r="A1140">
            <v>43804</v>
          </cell>
          <cell r="B1140">
            <v>156.84564208984381</v>
          </cell>
          <cell r="C1140">
            <v>49.46771240234375</v>
          </cell>
          <cell r="D1140">
            <v>198.27226257324219</v>
          </cell>
          <cell r="E1140">
            <v>50.207729339599609</v>
          </cell>
          <cell r="F1140">
            <v>73.0889892578125</v>
          </cell>
        </row>
        <row r="1141">
          <cell r="A1141">
            <v>43805</v>
          </cell>
          <cell r="B1141">
            <v>156.63743591308591</v>
          </cell>
          <cell r="C1141">
            <v>50.111644744873047</v>
          </cell>
          <cell r="D1141">
            <v>199.95304870605469</v>
          </cell>
          <cell r="E1141">
            <v>50.345447540283203</v>
          </cell>
          <cell r="F1141">
            <v>74.177490234375</v>
          </cell>
        </row>
        <row r="1142">
          <cell r="A1142">
            <v>43808</v>
          </cell>
          <cell r="B1142">
            <v>156.112060546875</v>
          </cell>
          <cell r="C1142">
            <v>49.864650726318359</v>
          </cell>
          <cell r="D1142">
            <v>200.241455078125</v>
          </cell>
          <cell r="E1142">
            <v>50.786201477050781</v>
          </cell>
          <cell r="F1142">
            <v>75.150962829589844</v>
          </cell>
        </row>
        <row r="1143">
          <cell r="A1143">
            <v>43809</v>
          </cell>
          <cell r="B1143">
            <v>155.04142761230469</v>
          </cell>
          <cell r="C1143">
            <v>49.917575836181641</v>
          </cell>
          <cell r="D1143">
            <v>199.77403259277341</v>
          </cell>
          <cell r="E1143">
            <v>51.254482269287109</v>
          </cell>
          <cell r="F1143">
            <v>74.442985534667969</v>
          </cell>
        </row>
        <row r="1144">
          <cell r="A1144">
            <v>43810</v>
          </cell>
          <cell r="B1144">
            <v>155.03150939941409</v>
          </cell>
          <cell r="C1144">
            <v>50.340984344482422</v>
          </cell>
          <cell r="D1144">
            <v>201.15644836425781</v>
          </cell>
          <cell r="E1144">
            <v>51.704410552978523</v>
          </cell>
          <cell r="F1144">
            <v>76.982826232910156</v>
          </cell>
        </row>
        <row r="1145">
          <cell r="A1145">
            <v>43811</v>
          </cell>
          <cell r="B1145">
            <v>157.21240234375</v>
          </cell>
          <cell r="C1145">
            <v>50.764381408691413</v>
          </cell>
          <cell r="D1145">
            <v>195.67649841308591</v>
          </cell>
          <cell r="E1145">
            <v>51.851322174072273</v>
          </cell>
          <cell r="F1145">
            <v>78.805839538574219</v>
          </cell>
        </row>
        <row r="1146">
          <cell r="A1146">
            <v>43812</v>
          </cell>
          <cell r="B1146">
            <v>159.73036193847659</v>
          </cell>
          <cell r="C1146">
            <v>50.976093292236328</v>
          </cell>
          <cell r="D1146">
            <v>193.0509033203125</v>
          </cell>
          <cell r="E1146">
            <v>50.051616668701172</v>
          </cell>
          <cell r="F1146">
            <v>77.726181030273438</v>
          </cell>
        </row>
        <row r="1147">
          <cell r="A1147">
            <v>43815</v>
          </cell>
          <cell r="B1147">
            <v>160.55316162109381</v>
          </cell>
          <cell r="C1147">
            <v>50.896694183349609</v>
          </cell>
          <cell r="D1147">
            <v>196.84010314941409</v>
          </cell>
          <cell r="E1147">
            <v>49.574161529541023</v>
          </cell>
          <cell r="F1147">
            <v>78.257156372070313</v>
          </cell>
        </row>
        <row r="1148">
          <cell r="A1148">
            <v>43816</v>
          </cell>
          <cell r="B1148">
            <v>160.22601318359381</v>
          </cell>
          <cell r="C1148">
            <v>50.543861389160163</v>
          </cell>
          <cell r="D1148">
            <v>197.30757141113281</v>
          </cell>
          <cell r="E1148">
            <v>48.518211364746087</v>
          </cell>
          <cell r="F1148">
            <v>78.159805297851563</v>
          </cell>
        </row>
        <row r="1149">
          <cell r="A1149">
            <v>43817</v>
          </cell>
          <cell r="B1149">
            <v>160.0773010253906</v>
          </cell>
          <cell r="C1149">
            <v>50.429191589355469</v>
          </cell>
          <cell r="D1149">
            <v>201.39515686035159</v>
          </cell>
          <cell r="E1149">
            <v>49.023239135742188</v>
          </cell>
          <cell r="F1149">
            <v>77.85894775390625</v>
          </cell>
        </row>
        <row r="1150">
          <cell r="A1150">
            <v>43818</v>
          </cell>
          <cell r="B1150">
            <v>161.9112548828125</v>
          </cell>
          <cell r="C1150">
            <v>51.126041412353523</v>
          </cell>
          <cell r="D1150">
            <v>204.9356994628906</v>
          </cell>
          <cell r="E1150">
            <v>48.885505676269531</v>
          </cell>
          <cell r="F1150">
            <v>78.310264587402344</v>
          </cell>
        </row>
        <row r="1151">
          <cell r="A1151">
            <v>43819</v>
          </cell>
          <cell r="B1151">
            <v>163.12068176269531</v>
          </cell>
          <cell r="C1151">
            <v>51.999313354492188</v>
          </cell>
          <cell r="D1151">
            <v>205.17439270019531</v>
          </cell>
          <cell r="E1151">
            <v>49.216060638427727</v>
          </cell>
          <cell r="F1151">
            <v>78.62884521484375</v>
          </cell>
        </row>
        <row r="1152">
          <cell r="A1152">
            <v>43822</v>
          </cell>
          <cell r="B1152">
            <v>162.31768798828119</v>
          </cell>
          <cell r="C1152">
            <v>52.246303558349609</v>
          </cell>
          <cell r="D1152">
            <v>205.05503845214841</v>
          </cell>
          <cell r="E1152">
            <v>49.317066192626953</v>
          </cell>
          <cell r="F1152">
            <v>78.27484130859375</v>
          </cell>
        </row>
        <row r="1153">
          <cell r="A1153">
            <v>43823</v>
          </cell>
          <cell r="B1153">
            <v>161.83195495605469</v>
          </cell>
          <cell r="C1153">
            <v>52.405082702636719</v>
          </cell>
          <cell r="D1153">
            <v>204.00083923339841</v>
          </cell>
          <cell r="E1153">
            <v>49.069141387939453</v>
          </cell>
          <cell r="F1153">
            <v>78.558036804199219</v>
          </cell>
        </row>
        <row r="1154">
          <cell r="A1154">
            <v>43825</v>
          </cell>
          <cell r="B1154">
            <v>163.08100891113281</v>
          </cell>
          <cell r="C1154">
            <v>52.766735076904297</v>
          </cell>
          <cell r="D1154">
            <v>206.65626525878909</v>
          </cell>
          <cell r="E1154">
            <v>49.188510894775391</v>
          </cell>
          <cell r="F1154">
            <v>78.230598449707031</v>
          </cell>
        </row>
        <row r="1155">
          <cell r="A1155">
            <v>43826</v>
          </cell>
          <cell r="B1155">
            <v>163.54689025878909</v>
          </cell>
          <cell r="C1155">
            <v>52.996082305908203</v>
          </cell>
          <cell r="D1155">
            <v>206.964599609375</v>
          </cell>
          <cell r="E1155">
            <v>49.087501525878913</v>
          </cell>
          <cell r="F1155">
            <v>78.584617614746094</v>
          </cell>
        </row>
        <row r="1156">
          <cell r="A1156">
            <v>43829</v>
          </cell>
          <cell r="B1156">
            <v>161.02897644042969</v>
          </cell>
          <cell r="C1156">
            <v>52.590316772460938</v>
          </cell>
          <cell r="D1156">
            <v>203.2947082519531</v>
          </cell>
          <cell r="E1156">
            <v>48.389671325683587</v>
          </cell>
          <cell r="F1156">
            <v>78.257156372070313</v>
          </cell>
        </row>
        <row r="1157">
          <cell r="A1157">
            <v>43830</v>
          </cell>
          <cell r="B1157">
            <v>161.22724914550781</v>
          </cell>
          <cell r="C1157">
            <v>52.793201446533203</v>
          </cell>
          <cell r="D1157">
            <v>204.13014221191409</v>
          </cell>
          <cell r="E1157">
            <v>48.646774291992188</v>
          </cell>
          <cell r="F1157">
            <v>78.080184936523438</v>
          </cell>
        </row>
        <row r="1158">
          <cell r="A1158">
            <v>43832</v>
          </cell>
          <cell r="B1158">
            <v>165.5394592285156</v>
          </cell>
          <cell r="C1158">
            <v>53.666469573974609</v>
          </cell>
          <cell r="D1158">
            <v>208.6354064941406</v>
          </cell>
          <cell r="E1158">
            <v>49.537425994873047</v>
          </cell>
          <cell r="F1158">
            <v>78.487266540527344</v>
          </cell>
        </row>
        <row r="1159">
          <cell r="A1159">
            <v>43833</v>
          </cell>
          <cell r="B1159">
            <v>164.72657775878909</v>
          </cell>
          <cell r="C1159">
            <v>53.013713836669922</v>
          </cell>
          <cell r="D1159">
            <v>207.5314636230469</v>
          </cell>
          <cell r="E1159">
            <v>49.36297607421875</v>
          </cell>
          <cell r="F1159">
            <v>77.009384155273438</v>
          </cell>
        </row>
        <row r="1160">
          <cell r="A1160">
            <v>43836</v>
          </cell>
          <cell r="B1160">
            <v>171.94334411621091</v>
          </cell>
          <cell r="C1160">
            <v>52.86376953125</v>
          </cell>
          <cell r="D1160">
            <v>211.4400329589844</v>
          </cell>
          <cell r="E1160">
            <v>49.620071411132813</v>
          </cell>
          <cell r="F1160">
            <v>76.55804443359375</v>
          </cell>
        </row>
        <row r="1161">
          <cell r="A1161">
            <v>43837</v>
          </cell>
          <cell r="B1161">
            <v>174.47117614746091</v>
          </cell>
          <cell r="C1161">
            <v>51.981681823730469</v>
          </cell>
          <cell r="D1161">
            <v>211.89752197265619</v>
          </cell>
          <cell r="E1161">
            <v>49.730262756347663</v>
          </cell>
          <cell r="F1161">
            <v>78.735054016113281</v>
          </cell>
        </row>
        <row r="1162">
          <cell r="A1162">
            <v>43838</v>
          </cell>
          <cell r="B1162">
            <v>175.78962707519531</v>
          </cell>
          <cell r="C1162">
            <v>52.016956329345703</v>
          </cell>
          <cell r="D1162">
            <v>214.04573059082031</v>
          </cell>
          <cell r="E1162">
            <v>49.923934936523438</v>
          </cell>
          <cell r="F1162">
            <v>78.504966735839844</v>
          </cell>
        </row>
        <row r="1163">
          <cell r="A1163">
            <v>43839</v>
          </cell>
          <cell r="B1163">
            <v>178.03993225097659</v>
          </cell>
          <cell r="C1163">
            <v>52.30804443359375</v>
          </cell>
          <cell r="D1163">
            <v>217.1089172363281</v>
          </cell>
          <cell r="E1163">
            <v>50.154514312744141</v>
          </cell>
          <cell r="F1163">
            <v>79.566909790039063</v>
          </cell>
        </row>
        <row r="1164">
          <cell r="A1164">
            <v>43840</v>
          </cell>
          <cell r="B1164">
            <v>178.63470458984381</v>
          </cell>
          <cell r="C1164">
            <v>51.990501403808587</v>
          </cell>
          <cell r="D1164">
            <v>216.8702392578125</v>
          </cell>
          <cell r="E1164">
            <v>50.219074249267578</v>
          </cell>
          <cell r="F1164">
            <v>79.876655578613281</v>
          </cell>
        </row>
        <row r="1165">
          <cell r="A1165">
            <v>43843</v>
          </cell>
          <cell r="B1165">
            <v>182.25300598144531</v>
          </cell>
          <cell r="C1165">
            <v>52.563846588134773</v>
          </cell>
          <cell r="D1165">
            <v>220.69923400878909</v>
          </cell>
          <cell r="E1165">
            <v>50.338977813720703</v>
          </cell>
          <cell r="F1165">
            <v>80.504959106445313</v>
          </cell>
        </row>
        <row r="1166">
          <cell r="A1166">
            <v>43844</v>
          </cell>
          <cell r="B1166">
            <v>180.53802490234381</v>
          </cell>
          <cell r="C1166">
            <v>52.422725677490227</v>
          </cell>
          <cell r="D1166">
            <v>217.8647766113281</v>
          </cell>
          <cell r="E1166">
            <v>50.615653991699219</v>
          </cell>
          <cell r="F1166">
            <v>80.142127990722656</v>
          </cell>
        </row>
        <row r="1167">
          <cell r="A1167">
            <v>43845</v>
          </cell>
          <cell r="B1167">
            <v>179.48722839355469</v>
          </cell>
          <cell r="C1167">
            <v>51.990501403808587</v>
          </cell>
          <cell r="D1167">
            <v>219.94337463378909</v>
          </cell>
          <cell r="E1167">
            <v>50.504985809326172</v>
          </cell>
          <cell r="F1167">
            <v>79.354530334472656</v>
          </cell>
        </row>
        <row r="1168">
          <cell r="A1168">
            <v>43846</v>
          </cell>
          <cell r="B1168">
            <v>181.10308837890619</v>
          </cell>
          <cell r="C1168">
            <v>52.6256103515625</v>
          </cell>
          <cell r="D1168">
            <v>220.55999755859381</v>
          </cell>
          <cell r="E1168">
            <v>51.122917175292969</v>
          </cell>
          <cell r="F1168">
            <v>81.23065185546875</v>
          </cell>
        </row>
        <row r="1169">
          <cell r="A1169">
            <v>43847</v>
          </cell>
          <cell r="B1169">
            <v>180.6470642089844</v>
          </cell>
          <cell r="C1169">
            <v>52.572669982910163</v>
          </cell>
          <cell r="D1169">
            <v>220.927978515625</v>
          </cell>
          <cell r="E1169">
            <v>50.846240997314453</v>
          </cell>
          <cell r="F1169">
            <v>84.876678466796875</v>
          </cell>
        </row>
        <row r="1170">
          <cell r="A1170">
            <v>43851</v>
          </cell>
          <cell r="B1170">
            <v>183.6606750488281</v>
          </cell>
          <cell r="C1170">
            <v>53.410663604736328</v>
          </cell>
          <cell r="D1170">
            <v>220.23179626464841</v>
          </cell>
          <cell r="E1170">
            <v>50.929248809814453</v>
          </cell>
          <cell r="F1170">
            <v>83.664299011230469</v>
          </cell>
        </row>
        <row r="1171">
          <cell r="A1171">
            <v>43852</v>
          </cell>
          <cell r="B1171">
            <v>181.16258239746091</v>
          </cell>
          <cell r="C1171">
            <v>55.333621978759773</v>
          </cell>
          <cell r="D1171">
            <v>220.11244201660159</v>
          </cell>
          <cell r="E1171">
            <v>50.468090057373047</v>
          </cell>
          <cell r="F1171">
            <v>82.274894714355469</v>
          </cell>
        </row>
        <row r="1172">
          <cell r="A1172">
            <v>43853</v>
          </cell>
          <cell r="B1172">
            <v>182.3818664550781</v>
          </cell>
          <cell r="C1172">
            <v>55.854053497314453</v>
          </cell>
          <cell r="D1172">
            <v>218.5609436035156</v>
          </cell>
          <cell r="E1172">
            <v>50.7078857421875</v>
          </cell>
          <cell r="F1172">
            <v>81.416496276855469</v>
          </cell>
        </row>
        <row r="1173">
          <cell r="A1173">
            <v>43854</v>
          </cell>
          <cell r="B1173">
            <v>180.52812194824219</v>
          </cell>
          <cell r="C1173">
            <v>60.396827697753913</v>
          </cell>
          <cell r="D1173">
            <v>216.7508850097656</v>
          </cell>
          <cell r="E1173">
            <v>49.868602752685547</v>
          </cell>
          <cell r="F1173">
            <v>79.336807250976563</v>
          </cell>
        </row>
        <row r="1174">
          <cell r="A1174">
            <v>43857</v>
          </cell>
          <cell r="B1174">
            <v>179.14027404785159</v>
          </cell>
          <cell r="C1174">
            <v>57.944622039794922</v>
          </cell>
          <cell r="D1174">
            <v>213.6976318359375</v>
          </cell>
          <cell r="E1174">
            <v>48.595829010009773</v>
          </cell>
          <cell r="F1174">
            <v>77.035926818847656</v>
          </cell>
        </row>
        <row r="1175">
          <cell r="A1175">
            <v>43858</v>
          </cell>
          <cell r="B1175">
            <v>181.26167297363281</v>
          </cell>
          <cell r="C1175">
            <v>59.373603820800781</v>
          </cell>
          <cell r="D1175">
            <v>216.60169982910159</v>
          </cell>
          <cell r="E1175">
            <v>49.305995941162109</v>
          </cell>
          <cell r="F1175">
            <v>78.894340515136719</v>
          </cell>
        </row>
        <row r="1176">
          <cell r="A1176">
            <v>43859</v>
          </cell>
          <cell r="B1176">
            <v>180.1910705566406</v>
          </cell>
          <cell r="C1176">
            <v>58.5091552734375</v>
          </cell>
          <cell r="D1176">
            <v>222.01200866699219</v>
          </cell>
          <cell r="E1176">
            <v>49.066200256347663</v>
          </cell>
          <cell r="F1176">
            <v>78.080184936523438</v>
          </cell>
        </row>
        <row r="1177">
          <cell r="A1177">
            <v>43860</v>
          </cell>
          <cell r="B1177">
            <v>184.05717468261719</v>
          </cell>
          <cell r="C1177">
            <v>58.632637023925781</v>
          </cell>
          <cell r="D1177">
            <v>208.38677978515619</v>
          </cell>
          <cell r="E1177">
            <v>49.167655944824219</v>
          </cell>
          <cell r="F1177">
            <v>77.681938171386719</v>
          </cell>
        </row>
        <row r="1178">
          <cell r="A1178">
            <v>43861</v>
          </cell>
          <cell r="B1178">
            <v>180.72636413574219</v>
          </cell>
          <cell r="C1178">
            <v>56.392127990722663</v>
          </cell>
          <cell r="D1178">
            <v>200.80836486816409</v>
          </cell>
          <cell r="E1178">
            <v>48.374469757080078</v>
          </cell>
          <cell r="F1178">
            <v>75.496078491210938</v>
          </cell>
        </row>
        <row r="1179">
          <cell r="A1179">
            <v>43864</v>
          </cell>
          <cell r="B1179">
            <v>183.8093566894531</v>
          </cell>
          <cell r="C1179">
            <v>56.824356079101563</v>
          </cell>
          <cell r="D1179">
            <v>203.0758972167969</v>
          </cell>
          <cell r="E1179">
            <v>48.964748382568359</v>
          </cell>
          <cell r="F1179">
            <v>76.531486511230469</v>
          </cell>
        </row>
        <row r="1180">
          <cell r="A1180">
            <v>43865</v>
          </cell>
          <cell r="B1180">
            <v>186.70399475097659</v>
          </cell>
          <cell r="C1180">
            <v>57.741729736328118</v>
          </cell>
          <cell r="D1180">
            <v>208.68513488769531</v>
          </cell>
          <cell r="E1180">
            <v>49.840934753417969</v>
          </cell>
          <cell r="F1180">
            <v>78.69964599609375</v>
          </cell>
        </row>
        <row r="1181">
          <cell r="A1181">
            <v>43866</v>
          </cell>
          <cell r="B1181">
            <v>183.87876892089841</v>
          </cell>
          <cell r="C1181">
            <v>59.400070190429688</v>
          </cell>
          <cell r="D1181">
            <v>208.96360778808591</v>
          </cell>
          <cell r="E1181">
            <v>50.486537933349609</v>
          </cell>
          <cell r="F1181">
            <v>80.451873779296875</v>
          </cell>
        </row>
        <row r="1182">
          <cell r="A1182">
            <v>43867</v>
          </cell>
          <cell r="B1182">
            <v>185.10798645019531</v>
          </cell>
          <cell r="C1182">
            <v>59.470981597900391</v>
          </cell>
          <cell r="D1182">
            <v>209.6995849609375</v>
          </cell>
          <cell r="E1182">
            <v>50.458866119384773</v>
          </cell>
          <cell r="F1182">
            <v>80.186393737792969</v>
          </cell>
        </row>
        <row r="1183">
          <cell r="A1183">
            <v>43868</v>
          </cell>
          <cell r="B1183">
            <v>184.10675048828119</v>
          </cell>
          <cell r="C1183">
            <v>58.522480010986328</v>
          </cell>
          <cell r="D1183">
            <v>211.1714782714844</v>
          </cell>
          <cell r="E1183">
            <v>50.468090057373047</v>
          </cell>
          <cell r="F1183">
            <v>77.363372802734375</v>
          </cell>
        </row>
        <row r="1184">
          <cell r="A1184">
            <v>43871</v>
          </cell>
          <cell r="B1184">
            <v>187.47721862792969</v>
          </cell>
          <cell r="C1184">
            <v>58.850482940673828</v>
          </cell>
          <cell r="D1184">
            <v>211.89752197265619</v>
          </cell>
          <cell r="E1184">
            <v>50.717113494873047</v>
          </cell>
          <cell r="F1184">
            <v>78.407608032226563</v>
          </cell>
        </row>
        <row r="1185">
          <cell r="A1185">
            <v>43872</v>
          </cell>
          <cell r="B1185">
            <v>187.4673156738281</v>
          </cell>
          <cell r="C1185">
            <v>59.754646301269531</v>
          </cell>
          <cell r="D1185">
            <v>206.0595397949219</v>
          </cell>
          <cell r="E1185">
            <v>50.864673614501953</v>
          </cell>
          <cell r="F1185">
            <v>79.646560668945313</v>
          </cell>
        </row>
        <row r="1186">
          <cell r="A1186">
            <v>43873</v>
          </cell>
          <cell r="B1186">
            <v>187.81427001953119</v>
          </cell>
          <cell r="C1186">
            <v>59.798965454101563</v>
          </cell>
          <cell r="D1186">
            <v>209.61004638671881</v>
          </cell>
          <cell r="E1186">
            <v>51.399608612060547</v>
          </cell>
          <cell r="F1186">
            <v>81.168708801269531</v>
          </cell>
        </row>
        <row r="1187">
          <cell r="A1187">
            <v>43874</v>
          </cell>
          <cell r="B1187">
            <v>187.00140380859381</v>
          </cell>
          <cell r="C1187">
            <v>59.781242370605469</v>
          </cell>
          <cell r="D1187">
            <v>211.97709655761719</v>
          </cell>
          <cell r="E1187">
            <v>51.012252807617188</v>
          </cell>
          <cell r="F1187">
            <v>79.673095703125</v>
          </cell>
        </row>
        <row r="1188">
          <cell r="A1188">
            <v>43875</v>
          </cell>
          <cell r="B1188">
            <v>188.30000305175781</v>
          </cell>
          <cell r="C1188">
            <v>59.630527496337891</v>
          </cell>
          <cell r="D1188">
            <v>213.01141357421881</v>
          </cell>
          <cell r="E1188">
            <v>51.159809112548828</v>
          </cell>
          <cell r="F1188">
            <v>79.292549133300781</v>
          </cell>
        </row>
        <row r="1189">
          <cell r="A1189">
            <v>43879</v>
          </cell>
          <cell r="B1189">
            <v>189.43011474609381</v>
          </cell>
          <cell r="C1189">
            <v>58.628860473632813</v>
          </cell>
          <cell r="D1189">
            <v>216.61164855957031</v>
          </cell>
          <cell r="E1189">
            <v>51.141368865966797</v>
          </cell>
          <cell r="F1189">
            <v>77.903175354003906</v>
          </cell>
        </row>
        <row r="1190">
          <cell r="A1190">
            <v>43880</v>
          </cell>
          <cell r="B1190">
            <v>191.19462585449219</v>
          </cell>
          <cell r="C1190">
            <v>59.48870849609375</v>
          </cell>
          <cell r="D1190">
            <v>216.30332946777341</v>
          </cell>
          <cell r="E1190">
            <v>51.132148742675781</v>
          </cell>
          <cell r="F1190">
            <v>80.142127990722656</v>
          </cell>
        </row>
        <row r="1191">
          <cell r="A1191">
            <v>43881</v>
          </cell>
          <cell r="B1191">
            <v>191.6803894042969</v>
          </cell>
          <cell r="C1191">
            <v>58.017230987548828</v>
          </cell>
          <cell r="D1191">
            <v>213.40922546386719</v>
          </cell>
          <cell r="E1191">
            <v>51.196708679199219</v>
          </cell>
          <cell r="F1191">
            <v>79.177528381347656</v>
          </cell>
        </row>
        <row r="1192">
          <cell r="A1192">
            <v>43882</v>
          </cell>
          <cell r="B1192">
            <v>187.8539123535156</v>
          </cell>
          <cell r="C1192">
            <v>57.033279418945313</v>
          </cell>
          <cell r="D1192">
            <v>209.03324890136719</v>
          </cell>
          <cell r="E1192">
            <v>50.431201934814453</v>
          </cell>
          <cell r="F1192">
            <v>77.018218994140625</v>
          </cell>
        </row>
        <row r="1193">
          <cell r="A1193">
            <v>43885</v>
          </cell>
          <cell r="B1193">
            <v>184.32484436035159</v>
          </cell>
          <cell r="C1193">
            <v>54.74627685546875</v>
          </cell>
          <cell r="D1193">
            <v>199.62483215332031</v>
          </cell>
          <cell r="E1193">
            <v>48.558921813964837</v>
          </cell>
          <cell r="F1193">
            <v>73.735023498535156</v>
          </cell>
        </row>
        <row r="1194">
          <cell r="A1194">
            <v>43886</v>
          </cell>
          <cell r="B1194">
            <v>179.69541931152341</v>
          </cell>
          <cell r="C1194">
            <v>52.946811676025391</v>
          </cell>
          <cell r="D1194">
            <v>195.69639587402341</v>
          </cell>
          <cell r="E1194">
            <v>47.000247955322273</v>
          </cell>
          <cell r="F1194">
            <v>70.991630554199219</v>
          </cell>
        </row>
        <row r="1195">
          <cell r="A1195">
            <v>43887</v>
          </cell>
          <cell r="B1195">
            <v>177.31623840332031</v>
          </cell>
          <cell r="C1195">
            <v>52.875904083251953</v>
          </cell>
          <cell r="D1195">
            <v>196.1240539550781</v>
          </cell>
          <cell r="E1195">
            <v>48.005558013916023</v>
          </cell>
          <cell r="F1195">
            <v>70.496055603027344</v>
          </cell>
        </row>
        <row r="1196">
          <cell r="A1196">
            <v>43888</v>
          </cell>
          <cell r="B1196">
            <v>170.6546325683594</v>
          </cell>
          <cell r="C1196">
            <v>49.489707946777337</v>
          </cell>
          <cell r="D1196">
            <v>188.71470642089841</v>
          </cell>
          <cell r="E1196">
            <v>46.834236145019531</v>
          </cell>
          <cell r="F1196">
            <v>67.204002380371094</v>
          </cell>
        </row>
        <row r="1197">
          <cell r="A1197">
            <v>43889</v>
          </cell>
          <cell r="B1197">
            <v>168.91981506347659</v>
          </cell>
          <cell r="C1197">
            <v>49.214927673339837</v>
          </cell>
          <cell r="D1197">
            <v>191.41986083984381</v>
          </cell>
          <cell r="E1197">
            <v>45.616802215576172</v>
          </cell>
          <cell r="F1197">
            <v>69.292503356933594</v>
          </cell>
        </row>
        <row r="1198">
          <cell r="A1198">
            <v>43892</v>
          </cell>
          <cell r="B1198">
            <v>175.22459411621091</v>
          </cell>
          <cell r="C1198">
            <v>51.572834014892578</v>
          </cell>
          <cell r="D1198">
            <v>195.3681945800781</v>
          </cell>
          <cell r="E1198">
            <v>46.944911956787109</v>
          </cell>
          <cell r="F1198">
            <v>71.292510986328125</v>
          </cell>
        </row>
        <row r="1199">
          <cell r="A1199">
            <v>43893</v>
          </cell>
          <cell r="B1199">
            <v>167.8987731933594</v>
          </cell>
          <cell r="C1199">
            <v>49.613819122314453</v>
          </cell>
          <cell r="D1199">
            <v>184.87577819824219</v>
          </cell>
          <cell r="E1199">
            <v>45.054195404052727</v>
          </cell>
          <cell r="F1199">
            <v>69.522590637207031</v>
          </cell>
        </row>
        <row r="1200">
          <cell r="A1200">
            <v>43894</v>
          </cell>
          <cell r="B1200">
            <v>174.16389465332031</v>
          </cell>
          <cell r="C1200">
            <v>52.016063690185547</v>
          </cell>
          <cell r="D1200">
            <v>190.7137451171875</v>
          </cell>
          <cell r="E1200">
            <v>46.612895965576172</v>
          </cell>
          <cell r="F1200">
            <v>72.965721130371094</v>
          </cell>
        </row>
        <row r="1201">
          <cell r="A1201">
            <v>43895</v>
          </cell>
          <cell r="B1201">
            <v>168.1268005371094</v>
          </cell>
          <cell r="C1201">
            <v>50.491386413574219</v>
          </cell>
          <cell r="D1201">
            <v>184.15968322753909</v>
          </cell>
          <cell r="E1201">
            <v>44.270248413085938</v>
          </cell>
          <cell r="F1201">
            <v>70.619743347167969</v>
          </cell>
        </row>
        <row r="1202">
          <cell r="A1202">
            <v>43896</v>
          </cell>
          <cell r="B1202">
            <v>162.6547546386719</v>
          </cell>
          <cell r="C1202">
            <v>49.4365234375</v>
          </cell>
          <cell r="D1202">
            <v>180.10194396972659</v>
          </cell>
          <cell r="E1202">
            <v>43.689205169677727</v>
          </cell>
          <cell r="F1202">
            <v>69.103340148925781</v>
          </cell>
        </row>
        <row r="1203">
          <cell r="A1203">
            <v>43899</v>
          </cell>
          <cell r="B1203">
            <v>149.89653015136719</v>
          </cell>
          <cell r="C1203">
            <v>45.075260162353523</v>
          </cell>
          <cell r="D1203">
            <v>168.5751953125</v>
          </cell>
          <cell r="E1203">
            <v>42.434890747070313</v>
          </cell>
          <cell r="F1203">
            <v>64.794990539550781</v>
          </cell>
        </row>
        <row r="1204">
          <cell r="A1204">
            <v>43900</v>
          </cell>
          <cell r="B1204">
            <v>159.93852233886719</v>
          </cell>
          <cell r="C1204">
            <v>47.849811553955078</v>
          </cell>
          <cell r="D1204">
            <v>177.21778869628909</v>
          </cell>
          <cell r="E1204">
            <v>44.805194854736328</v>
          </cell>
          <cell r="F1204">
            <v>70.370002746582031</v>
          </cell>
        </row>
        <row r="1205">
          <cell r="A1205">
            <v>43901</v>
          </cell>
          <cell r="B1205">
            <v>153.22734069824219</v>
          </cell>
          <cell r="C1205">
            <v>45.793270111083977</v>
          </cell>
          <cell r="D1205">
            <v>169.31114196777341</v>
          </cell>
          <cell r="E1205">
            <v>41.2451171875</v>
          </cell>
          <cell r="F1205">
            <v>66.561149597167969</v>
          </cell>
        </row>
        <row r="1206">
          <cell r="A1206">
            <v>43902</v>
          </cell>
          <cell r="B1206">
            <v>139.36878967285159</v>
          </cell>
          <cell r="C1206">
            <v>40.3682861328125</v>
          </cell>
          <cell r="D1206">
            <v>153.62718200683591</v>
          </cell>
          <cell r="E1206">
            <v>36.707420349121087</v>
          </cell>
          <cell r="F1206">
            <v>59.781932830810547</v>
          </cell>
        </row>
        <row r="1207">
          <cell r="A1207">
            <v>43903</v>
          </cell>
          <cell r="B1207">
            <v>146.4963073730469</v>
          </cell>
          <cell r="C1207">
            <v>48.248695373535163</v>
          </cell>
          <cell r="D1207">
            <v>169.35093688964841</v>
          </cell>
          <cell r="E1207">
            <v>44.205692291259773</v>
          </cell>
          <cell r="F1207">
            <v>67.622634887695313</v>
          </cell>
        </row>
        <row r="1208">
          <cell r="A1208">
            <v>43906</v>
          </cell>
          <cell r="B1208">
            <v>123.22027587890619</v>
          </cell>
          <cell r="C1208">
            <v>39.543907165527337</v>
          </cell>
          <cell r="D1208">
            <v>145.2133483886719</v>
          </cell>
          <cell r="E1208">
            <v>39.400520324707031</v>
          </cell>
          <cell r="F1208">
            <v>57.516250610351563</v>
          </cell>
        </row>
        <row r="1209">
          <cell r="A1209">
            <v>43907</v>
          </cell>
          <cell r="B1209">
            <v>134.24366760253909</v>
          </cell>
          <cell r="C1209">
            <v>44.3927001953125</v>
          </cell>
          <cell r="D1209">
            <v>148.60475158691409</v>
          </cell>
          <cell r="E1209">
            <v>43.218837738037109</v>
          </cell>
          <cell r="F1209">
            <v>61.423225402832031</v>
          </cell>
        </row>
        <row r="1210">
          <cell r="A1210">
            <v>43908</v>
          </cell>
          <cell r="B1210">
            <v>131.09130859375</v>
          </cell>
          <cell r="C1210">
            <v>42.203212738037109</v>
          </cell>
          <cell r="D1210">
            <v>146.1581726074219</v>
          </cell>
          <cell r="E1210">
            <v>43.596969604492188</v>
          </cell>
          <cell r="F1210">
            <v>54.581569671630859</v>
          </cell>
        </row>
        <row r="1211">
          <cell r="A1211">
            <v>43909</v>
          </cell>
          <cell r="B1211">
            <v>138.24859619140619</v>
          </cell>
          <cell r="C1211">
            <v>40.722866058349609</v>
          </cell>
          <cell r="D1211">
            <v>152.29449462890619</v>
          </cell>
          <cell r="E1211">
            <v>41.567924499511719</v>
          </cell>
          <cell r="F1211">
            <v>57.980098724365227</v>
          </cell>
        </row>
        <row r="1212">
          <cell r="A1212">
            <v>43910</v>
          </cell>
          <cell r="B1212">
            <v>138.13954162597659</v>
          </cell>
          <cell r="C1212">
            <v>40.625362396240227</v>
          </cell>
          <cell r="D1212">
            <v>148.91304016113281</v>
          </cell>
          <cell r="E1212">
            <v>42.102863311767578</v>
          </cell>
          <cell r="F1212">
            <v>54.331806182861328</v>
          </cell>
        </row>
        <row r="1213">
          <cell r="A1213">
            <v>43913</v>
          </cell>
          <cell r="B1213">
            <v>139.29939270019531</v>
          </cell>
          <cell r="C1213">
            <v>43.949485778808587</v>
          </cell>
          <cell r="D1213">
            <v>147.29194641113281</v>
          </cell>
          <cell r="E1213">
            <v>40.756301879882813</v>
          </cell>
          <cell r="F1213">
            <v>55.776859283447273</v>
          </cell>
        </row>
        <row r="1214">
          <cell r="A1214">
            <v>43914</v>
          </cell>
          <cell r="B1214">
            <v>152.30540466308591</v>
          </cell>
          <cell r="C1214">
            <v>46.449241638183587</v>
          </cell>
          <cell r="D1214">
            <v>160.1016540527344</v>
          </cell>
          <cell r="E1214">
            <v>44.122692108154297</v>
          </cell>
          <cell r="F1214">
            <v>58.390426635742188</v>
          </cell>
        </row>
        <row r="1215">
          <cell r="A1215">
            <v>43915</v>
          </cell>
          <cell r="B1215">
            <v>145.7825622558594</v>
          </cell>
          <cell r="C1215">
            <v>45.438701629638672</v>
          </cell>
          <cell r="D1215">
            <v>155.35771179199219</v>
          </cell>
          <cell r="E1215">
            <v>42.370326995849609</v>
          </cell>
          <cell r="F1215">
            <v>56.2674560546875</v>
          </cell>
        </row>
        <row r="1216">
          <cell r="A1216">
            <v>43916</v>
          </cell>
          <cell r="B1216">
            <v>153.38594055175781</v>
          </cell>
          <cell r="C1216">
            <v>49.232646942138672</v>
          </cell>
          <cell r="D1216">
            <v>162.44880676269531</v>
          </cell>
          <cell r="E1216">
            <v>46.557548522949219</v>
          </cell>
          <cell r="F1216">
            <v>61.530261993408203</v>
          </cell>
        </row>
        <row r="1217">
          <cell r="A1217">
            <v>43917</v>
          </cell>
          <cell r="B1217">
            <v>144.73179626464841</v>
          </cell>
          <cell r="C1217">
            <v>46.422645568847663</v>
          </cell>
          <cell r="D1217">
            <v>155.93452453613281</v>
          </cell>
          <cell r="E1217">
            <v>45.958065032958977</v>
          </cell>
          <cell r="F1217">
            <v>59.39837646484375</v>
          </cell>
        </row>
        <row r="1218">
          <cell r="A1218">
            <v>43920</v>
          </cell>
          <cell r="B1218">
            <v>148.54832458496091</v>
          </cell>
          <cell r="C1218">
            <v>49.188331604003913</v>
          </cell>
          <cell r="D1218">
            <v>165.04454040527341</v>
          </cell>
          <cell r="E1218">
            <v>46.446876525878913</v>
          </cell>
          <cell r="F1218">
            <v>61.574871063232422</v>
          </cell>
        </row>
        <row r="1219">
          <cell r="A1219">
            <v>43921</v>
          </cell>
          <cell r="B1219">
            <v>142.72932434082031</v>
          </cell>
          <cell r="C1219">
            <v>47.973907470703118</v>
          </cell>
          <cell r="D1219">
            <v>165.88990783691409</v>
          </cell>
          <cell r="E1219">
            <v>44.574615478515618</v>
          </cell>
          <cell r="F1219">
            <v>60.343902587890618</v>
          </cell>
        </row>
        <row r="1220">
          <cell r="A1220">
            <v>43922</v>
          </cell>
          <cell r="B1220">
            <v>132.8955078125</v>
          </cell>
          <cell r="C1220">
            <v>45.988296508789063</v>
          </cell>
          <cell r="D1220">
            <v>158.7292175292969</v>
          </cell>
          <cell r="E1220">
            <v>44.925086975097663</v>
          </cell>
          <cell r="F1220">
            <v>58.782905578613281</v>
          </cell>
        </row>
        <row r="1221">
          <cell r="A1221">
            <v>43923</v>
          </cell>
          <cell r="B1221">
            <v>133.15325927734381</v>
          </cell>
          <cell r="C1221">
            <v>48.177787780761719</v>
          </cell>
          <cell r="D1221">
            <v>157.32688903808591</v>
          </cell>
          <cell r="E1221">
            <v>45.930389404296882</v>
          </cell>
          <cell r="F1221">
            <v>60.673927307128913</v>
          </cell>
        </row>
        <row r="1222">
          <cell r="A1222">
            <v>43924</v>
          </cell>
          <cell r="B1222">
            <v>133.14332580566409</v>
          </cell>
          <cell r="C1222">
            <v>47.982769012451172</v>
          </cell>
          <cell r="D1222">
            <v>153.3387451171875</v>
          </cell>
          <cell r="E1222">
            <v>45.561473846435547</v>
          </cell>
          <cell r="F1222">
            <v>58.185253143310547</v>
          </cell>
        </row>
        <row r="1223">
          <cell r="A1223">
            <v>43927</v>
          </cell>
          <cell r="B1223">
            <v>146.26832580566409</v>
          </cell>
          <cell r="C1223">
            <v>51.794456481933587</v>
          </cell>
          <cell r="D1223">
            <v>164.646728515625</v>
          </cell>
          <cell r="E1223">
            <v>47.48907470703125</v>
          </cell>
          <cell r="F1223">
            <v>63.287509918212891</v>
          </cell>
        </row>
        <row r="1224">
          <cell r="A1224">
            <v>43928</v>
          </cell>
          <cell r="B1224">
            <v>143.80986022949219</v>
          </cell>
          <cell r="C1224">
            <v>51.767845153808587</v>
          </cell>
          <cell r="D1224">
            <v>167.9088439941406</v>
          </cell>
          <cell r="E1224">
            <v>46.815792083740227</v>
          </cell>
          <cell r="F1224">
            <v>64.875259399414063</v>
          </cell>
        </row>
        <row r="1225">
          <cell r="A1225">
            <v>43929</v>
          </cell>
          <cell r="B1225">
            <v>149.80729675292969</v>
          </cell>
          <cell r="C1225">
            <v>52.281978607177727</v>
          </cell>
          <cell r="D1225">
            <v>173.32911682128909</v>
          </cell>
          <cell r="E1225">
            <v>48.307746887207031</v>
          </cell>
          <cell r="F1225">
            <v>65.410476684570313</v>
          </cell>
        </row>
        <row r="1226">
          <cell r="A1226">
            <v>43930</v>
          </cell>
          <cell r="B1226">
            <v>153.20751953125</v>
          </cell>
          <cell r="C1226">
            <v>50.650947570800781</v>
          </cell>
          <cell r="D1226">
            <v>174.23414611816409</v>
          </cell>
          <cell r="E1226">
            <v>49.280757904052727</v>
          </cell>
          <cell r="F1226">
            <v>63.849464416503913</v>
          </cell>
        </row>
        <row r="1227">
          <cell r="A1227">
            <v>43934</v>
          </cell>
          <cell r="B1227">
            <v>151.17530822753909</v>
          </cell>
          <cell r="C1227">
            <v>52.033786773681641</v>
          </cell>
          <cell r="D1227">
            <v>173.83631896972659</v>
          </cell>
          <cell r="E1227">
            <v>49.086162567138672</v>
          </cell>
          <cell r="F1227">
            <v>65.383705139160156</v>
          </cell>
        </row>
        <row r="1228">
          <cell r="A1228">
            <v>43935</v>
          </cell>
          <cell r="B1228">
            <v>156.34007263183591</v>
          </cell>
          <cell r="C1228">
            <v>53.771202087402337</v>
          </cell>
          <cell r="D1228">
            <v>177.19789123535159</v>
          </cell>
          <cell r="E1228">
            <v>50.040637969970703</v>
          </cell>
          <cell r="F1228">
            <v>69.174720764160156</v>
          </cell>
        </row>
        <row r="1229">
          <cell r="A1229">
            <v>43936</v>
          </cell>
          <cell r="B1229">
            <v>154.27813720703119</v>
          </cell>
          <cell r="C1229">
            <v>52.184474945068359</v>
          </cell>
          <cell r="D1229">
            <v>176.0044250488281</v>
          </cell>
          <cell r="E1229">
            <v>49.262233734130859</v>
          </cell>
          <cell r="F1229">
            <v>67.783195495605469</v>
          </cell>
        </row>
        <row r="1230">
          <cell r="A1230">
            <v>43937</v>
          </cell>
          <cell r="B1230">
            <v>155.6957092285156</v>
          </cell>
          <cell r="C1230">
            <v>53.886432647705078</v>
          </cell>
          <cell r="D1230">
            <v>175.28834533691409</v>
          </cell>
          <cell r="E1230">
            <v>49.762630462646477</v>
          </cell>
          <cell r="F1230">
            <v>68.550300598144531</v>
          </cell>
        </row>
        <row r="1231">
          <cell r="A1231">
            <v>43938</v>
          </cell>
          <cell r="B1231">
            <v>161.2074279785156</v>
          </cell>
          <cell r="C1231">
            <v>53.505264282226563</v>
          </cell>
          <cell r="D1231">
            <v>178.2620544433594</v>
          </cell>
          <cell r="E1231">
            <v>50.615180969238281</v>
          </cell>
          <cell r="F1231">
            <v>67.943756103515625</v>
          </cell>
        </row>
        <row r="1232">
          <cell r="A1232">
            <v>43941</v>
          </cell>
          <cell r="B1232">
            <v>161.34617614746091</v>
          </cell>
          <cell r="C1232">
            <v>52.459274291992188</v>
          </cell>
          <cell r="D1232">
            <v>177.26750183105469</v>
          </cell>
          <cell r="E1232">
            <v>49.957233428955078</v>
          </cell>
          <cell r="F1232">
            <v>66.284629821777344</v>
          </cell>
        </row>
        <row r="1233">
          <cell r="A1233">
            <v>43942</v>
          </cell>
          <cell r="B1233">
            <v>149.2521667480469</v>
          </cell>
          <cell r="C1233">
            <v>49.959526062011719</v>
          </cell>
          <cell r="D1233">
            <v>169.86810302734381</v>
          </cell>
          <cell r="E1233">
            <v>47.547874450683587</v>
          </cell>
          <cell r="F1233">
            <v>64.081390380859375</v>
          </cell>
        </row>
        <row r="1234">
          <cell r="A1234">
            <v>43943</v>
          </cell>
          <cell r="B1234">
            <v>152.80108642578119</v>
          </cell>
          <cell r="C1234">
            <v>53.274787902832031</v>
          </cell>
          <cell r="D1234">
            <v>181.28547668457031</v>
          </cell>
          <cell r="E1234">
            <v>48.437480926513672</v>
          </cell>
          <cell r="F1234">
            <v>66.614662170410156</v>
          </cell>
        </row>
        <row r="1235">
          <cell r="A1235">
            <v>43944</v>
          </cell>
          <cell r="B1235">
            <v>150.40208435058591</v>
          </cell>
          <cell r="C1235">
            <v>52.335170745849609</v>
          </cell>
          <cell r="D1235">
            <v>184.11993408203119</v>
          </cell>
          <cell r="E1235">
            <v>48.15948486328125</v>
          </cell>
          <cell r="F1235">
            <v>65.838630676269531</v>
          </cell>
        </row>
        <row r="1236">
          <cell r="A1236">
            <v>43945</v>
          </cell>
          <cell r="B1236">
            <v>152.6424560546875</v>
          </cell>
          <cell r="C1236">
            <v>52.530181884765618</v>
          </cell>
          <cell r="D1236">
            <v>189.032958984375</v>
          </cell>
          <cell r="E1236">
            <v>49.123222351074219</v>
          </cell>
          <cell r="F1236">
            <v>67.827789306640625</v>
          </cell>
        </row>
        <row r="1237">
          <cell r="A1237">
            <v>43948</v>
          </cell>
          <cell r="B1237">
            <v>156.2607727050781</v>
          </cell>
          <cell r="C1237">
            <v>52.716342926025391</v>
          </cell>
          <cell r="D1237">
            <v>186.47697448730469</v>
          </cell>
          <cell r="E1237">
            <v>49.456836700439453</v>
          </cell>
          <cell r="F1237">
            <v>67.774276733398438</v>
          </cell>
        </row>
        <row r="1238">
          <cell r="A1238">
            <v>43949</v>
          </cell>
          <cell r="B1238">
            <v>153.1182861328125</v>
          </cell>
          <cell r="C1238">
            <v>52.078109741210938</v>
          </cell>
          <cell r="D1238">
            <v>181.9120178222656</v>
          </cell>
          <cell r="E1238">
            <v>49.299293518066413</v>
          </cell>
          <cell r="F1238">
            <v>67.158805847167969</v>
          </cell>
        </row>
        <row r="1239">
          <cell r="A1239">
            <v>43950</v>
          </cell>
          <cell r="B1239">
            <v>159.03643798828119</v>
          </cell>
          <cell r="C1239">
            <v>54.781726837158203</v>
          </cell>
          <cell r="D1239">
            <v>193.1304626464844</v>
          </cell>
          <cell r="E1239">
            <v>49.929428100585938</v>
          </cell>
          <cell r="F1239">
            <v>70.44134521484375</v>
          </cell>
        </row>
        <row r="1240">
          <cell r="A1240">
            <v>43951</v>
          </cell>
          <cell r="B1240">
            <v>160.5432434082031</v>
          </cell>
          <cell r="C1240">
            <v>53.168415069580078</v>
          </cell>
          <cell r="D1240">
            <v>203.59307861328119</v>
          </cell>
          <cell r="E1240">
            <v>49.086162567138672</v>
          </cell>
          <cell r="F1240">
            <v>70.173759460449219</v>
          </cell>
        </row>
        <row r="1241">
          <cell r="A1241">
            <v>43952</v>
          </cell>
          <cell r="B1241">
            <v>155.01170349121091</v>
          </cell>
          <cell r="C1241">
            <v>50.943470001220703</v>
          </cell>
          <cell r="D1241">
            <v>201.1663818359375</v>
          </cell>
          <cell r="E1241">
            <v>47.992671966552727</v>
          </cell>
          <cell r="F1241">
            <v>67.470985412597656</v>
          </cell>
        </row>
        <row r="1242">
          <cell r="A1242">
            <v>43955</v>
          </cell>
          <cell r="B1242">
            <v>160.0673828125</v>
          </cell>
          <cell r="C1242">
            <v>51.404411315917969</v>
          </cell>
          <cell r="D1242">
            <v>204.14007568359381</v>
          </cell>
          <cell r="E1242">
            <v>47.955608367919922</v>
          </cell>
          <cell r="F1242">
            <v>67.506660461425781</v>
          </cell>
        </row>
        <row r="1243">
          <cell r="A1243">
            <v>43956</v>
          </cell>
          <cell r="B1243">
            <v>161.83195495605469</v>
          </cell>
          <cell r="C1243">
            <v>52.078109741210938</v>
          </cell>
          <cell r="D1243">
            <v>205.9402160644531</v>
          </cell>
          <cell r="E1243">
            <v>48.233612060546882</v>
          </cell>
          <cell r="F1243">
            <v>69.246078491210938</v>
          </cell>
        </row>
        <row r="1244">
          <cell r="A1244">
            <v>43957</v>
          </cell>
          <cell r="B1244">
            <v>162.248291015625</v>
          </cell>
          <cell r="C1244">
            <v>52.755603790283203</v>
          </cell>
          <cell r="D1244">
            <v>207.33256530761719</v>
          </cell>
          <cell r="E1244">
            <v>48.057540893554688</v>
          </cell>
          <cell r="F1244">
            <v>70.352165222167969</v>
          </cell>
        </row>
        <row r="1245">
          <cell r="A1245">
            <v>43958</v>
          </cell>
          <cell r="B1245">
            <v>168.42414855957031</v>
          </cell>
          <cell r="C1245">
            <v>52.746681213378913</v>
          </cell>
          <cell r="D1245">
            <v>210.10734558105469</v>
          </cell>
          <cell r="E1245">
            <v>48.743293762207031</v>
          </cell>
          <cell r="F1245">
            <v>70.316482543945313</v>
          </cell>
        </row>
        <row r="1246">
          <cell r="A1246">
            <v>43959</v>
          </cell>
          <cell r="B1246">
            <v>174.37202453613281</v>
          </cell>
          <cell r="C1246">
            <v>53.192413330078118</v>
          </cell>
          <cell r="D1246">
            <v>211.1913757324219</v>
          </cell>
          <cell r="E1246">
            <v>49.642177581787109</v>
          </cell>
          <cell r="F1246">
            <v>71.859626770019531</v>
          </cell>
        </row>
        <row r="1247">
          <cell r="A1247">
            <v>43962</v>
          </cell>
          <cell r="B1247">
            <v>181.083251953125</v>
          </cell>
          <cell r="C1247">
            <v>53.602474212646477</v>
          </cell>
          <cell r="D1247">
            <v>212.016845703125</v>
          </cell>
          <cell r="E1247">
            <v>49.605094909667969</v>
          </cell>
          <cell r="F1247">
            <v>71.788291931152344</v>
          </cell>
        </row>
        <row r="1248">
          <cell r="A1248">
            <v>43963</v>
          </cell>
          <cell r="B1248">
            <v>175.997802734375</v>
          </cell>
          <cell r="C1248">
            <v>52.051361083984382</v>
          </cell>
          <cell r="D1248">
            <v>208.95367431640619</v>
          </cell>
          <cell r="E1248">
            <v>48.437480926513672</v>
          </cell>
          <cell r="F1248">
            <v>69.950752258300781</v>
          </cell>
        </row>
        <row r="1249">
          <cell r="A1249">
            <v>43964</v>
          </cell>
          <cell r="B1249">
            <v>168.1664123535156</v>
          </cell>
          <cell r="C1249">
            <v>51.471923828125</v>
          </cell>
          <cell r="D1249">
            <v>203.98095703125</v>
          </cell>
          <cell r="E1249">
            <v>47.862941741943359</v>
          </cell>
          <cell r="F1249">
            <v>69.57611083984375</v>
          </cell>
        </row>
        <row r="1250">
          <cell r="A1250">
            <v>43965</v>
          </cell>
          <cell r="B1250">
            <v>165.54936218261719</v>
          </cell>
          <cell r="C1250">
            <v>52.666454315185547</v>
          </cell>
          <cell r="D1250">
            <v>205.68162536621091</v>
          </cell>
          <cell r="E1250">
            <v>49.030555725097663</v>
          </cell>
          <cell r="F1250">
            <v>71.244171142578125</v>
          </cell>
        </row>
        <row r="1251">
          <cell r="A1251">
            <v>43966</v>
          </cell>
          <cell r="B1251">
            <v>169.84175109863281</v>
          </cell>
          <cell r="C1251">
            <v>51.953296661376953</v>
          </cell>
          <cell r="D1251">
            <v>209.72941589355469</v>
          </cell>
          <cell r="E1251">
            <v>49.039829254150391</v>
          </cell>
          <cell r="F1251">
            <v>67.586944580078125</v>
          </cell>
        </row>
        <row r="1252">
          <cell r="A1252">
            <v>43969</v>
          </cell>
          <cell r="B1252">
            <v>171.0015869140625</v>
          </cell>
          <cell r="C1252">
            <v>53.415267944335938</v>
          </cell>
          <cell r="D1252">
            <v>212.02680969238281</v>
          </cell>
          <cell r="E1252">
            <v>49.252960205078118</v>
          </cell>
          <cell r="F1252">
            <v>71.306617736816406</v>
          </cell>
        </row>
        <row r="1253">
          <cell r="A1253">
            <v>43970</v>
          </cell>
          <cell r="B1253">
            <v>174.51081848144531</v>
          </cell>
          <cell r="C1253">
            <v>53.745105743408203</v>
          </cell>
          <cell r="D1253">
            <v>215.6966857910156</v>
          </cell>
          <cell r="E1253">
            <v>48.502346038818359</v>
          </cell>
          <cell r="F1253">
            <v>69.656394958496094</v>
          </cell>
        </row>
        <row r="1254">
          <cell r="A1254">
            <v>43971</v>
          </cell>
          <cell r="B1254">
            <v>175.3930969238281</v>
          </cell>
          <cell r="C1254">
            <v>56.250053405761719</v>
          </cell>
          <cell r="D1254">
            <v>228.71527099609381</v>
          </cell>
          <cell r="E1254">
            <v>49.021289825439453</v>
          </cell>
          <cell r="F1254">
            <v>71.922080993652344</v>
          </cell>
        </row>
        <row r="1255">
          <cell r="A1255">
            <v>43972</v>
          </cell>
          <cell r="B1255">
            <v>173.73760986328119</v>
          </cell>
          <cell r="C1255">
            <v>55.25164794921875</v>
          </cell>
          <cell r="D1255">
            <v>230.12750244140619</v>
          </cell>
          <cell r="E1255">
            <v>48.391143798828118</v>
          </cell>
          <cell r="F1255">
            <v>69.57611083984375</v>
          </cell>
        </row>
        <row r="1256">
          <cell r="A1256">
            <v>43973</v>
          </cell>
          <cell r="B1256">
            <v>176.30511474609381</v>
          </cell>
          <cell r="C1256">
            <v>55.501251220703118</v>
          </cell>
          <cell r="D1256">
            <v>233.62831115722659</v>
          </cell>
          <cell r="E1256">
            <v>48.761817932128913</v>
          </cell>
          <cell r="F1256">
            <v>70.200515747070313</v>
          </cell>
        </row>
        <row r="1257">
          <cell r="A1257">
            <v>43977</v>
          </cell>
          <cell r="B1257">
            <v>174.98667907714841</v>
          </cell>
          <cell r="C1257">
            <v>55.572563171386719</v>
          </cell>
          <cell r="D1257">
            <v>230.9330749511719</v>
          </cell>
          <cell r="E1257">
            <v>48.910087585449219</v>
          </cell>
          <cell r="F1257">
            <v>69.593963623046875</v>
          </cell>
        </row>
        <row r="1258">
          <cell r="A1258">
            <v>43978</v>
          </cell>
          <cell r="B1258">
            <v>175.06597900390619</v>
          </cell>
          <cell r="C1258">
            <v>56.660125732421882</v>
          </cell>
          <cell r="D1258">
            <v>227.88978576660159</v>
          </cell>
          <cell r="E1258">
            <v>49.299293518066413</v>
          </cell>
          <cell r="F1258">
            <v>70.726791381835938</v>
          </cell>
        </row>
        <row r="1259">
          <cell r="A1259">
            <v>43979</v>
          </cell>
          <cell r="B1259">
            <v>179.52690124511719</v>
          </cell>
          <cell r="C1259">
            <v>55.002040863037109</v>
          </cell>
          <cell r="D1259">
            <v>224.22987365722659</v>
          </cell>
          <cell r="E1259">
            <v>49.688507080078118</v>
          </cell>
          <cell r="F1259">
            <v>69.674247741699219</v>
          </cell>
        </row>
        <row r="1260">
          <cell r="A1260">
            <v>43980</v>
          </cell>
          <cell r="B1260">
            <v>173.27168273925781</v>
          </cell>
          <cell r="C1260">
            <v>56.098514556884773</v>
          </cell>
          <cell r="D1260">
            <v>223.86186218261719</v>
          </cell>
          <cell r="E1260">
            <v>49.827499389648438</v>
          </cell>
          <cell r="F1260">
            <v>72.145065307617188</v>
          </cell>
        </row>
        <row r="1261">
          <cell r="A1261">
            <v>43983</v>
          </cell>
          <cell r="B1261">
            <v>174.82806396484381</v>
          </cell>
          <cell r="C1261">
            <v>55.144668579101563</v>
          </cell>
          <cell r="D1261">
            <v>230.64466857910159</v>
          </cell>
          <cell r="E1261">
            <v>49.169548034667969</v>
          </cell>
          <cell r="F1261">
            <v>71.119270324707031</v>
          </cell>
        </row>
        <row r="1262">
          <cell r="A1262">
            <v>43984</v>
          </cell>
          <cell r="B1262">
            <v>172.71656799316409</v>
          </cell>
          <cell r="C1262">
            <v>55.376445770263672</v>
          </cell>
          <cell r="D1262">
            <v>231.45025634765619</v>
          </cell>
          <cell r="E1262">
            <v>49.373432159423828</v>
          </cell>
          <cell r="F1262">
            <v>75.490089416503906</v>
          </cell>
        </row>
        <row r="1263">
          <cell r="A1263">
            <v>43985</v>
          </cell>
          <cell r="B1263">
            <v>173.469970703125</v>
          </cell>
          <cell r="C1263">
            <v>55.207073211669922</v>
          </cell>
          <cell r="D1263">
            <v>228.90422058105469</v>
          </cell>
          <cell r="E1263">
            <v>49.568031311035163</v>
          </cell>
          <cell r="F1263">
            <v>75.60693359375</v>
          </cell>
        </row>
        <row r="1264">
          <cell r="A1264">
            <v>43986</v>
          </cell>
          <cell r="B1264">
            <v>169.95082092285159</v>
          </cell>
          <cell r="C1264">
            <v>56.134178161621087</v>
          </cell>
          <cell r="D1264">
            <v>225.0553283691406</v>
          </cell>
          <cell r="E1264">
            <v>48.974948883056641</v>
          </cell>
          <cell r="F1264">
            <v>77.341835021972656</v>
          </cell>
        </row>
        <row r="1265">
          <cell r="A1265">
            <v>43987</v>
          </cell>
          <cell r="B1265">
            <v>172.36961364746091</v>
          </cell>
          <cell r="C1265">
            <v>57.355442047119141</v>
          </cell>
          <cell r="D1265">
            <v>229.51087951660159</v>
          </cell>
          <cell r="E1265">
            <v>50.0220947265625</v>
          </cell>
          <cell r="F1265">
            <v>79.598091125488281</v>
          </cell>
        </row>
        <row r="1266">
          <cell r="A1266">
            <v>43990</v>
          </cell>
          <cell r="B1266">
            <v>175.01640319824219</v>
          </cell>
          <cell r="C1266">
            <v>56.7581787109375</v>
          </cell>
          <cell r="D1266">
            <v>230.137451171875</v>
          </cell>
          <cell r="E1266">
            <v>51.059982299804688</v>
          </cell>
          <cell r="F1266">
            <v>82.132987976074219</v>
          </cell>
        </row>
        <row r="1267">
          <cell r="A1267">
            <v>43991</v>
          </cell>
          <cell r="B1267">
            <v>173.043701171875</v>
          </cell>
          <cell r="C1267">
            <v>56.196575164794922</v>
          </cell>
          <cell r="D1267">
            <v>237.3677673339844</v>
          </cell>
          <cell r="E1267">
            <v>50.207439422607422</v>
          </cell>
          <cell r="F1267">
            <v>80.676765441894531</v>
          </cell>
        </row>
        <row r="1268">
          <cell r="A1268">
            <v>43992</v>
          </cell>
          <cell r="B1268">
            <v>180.51820373535159</v>
          </cell>
          <cell r="C1268">
            <v>56.936466217041023</v>
          </cell>
          <cell r="D1268">
            <v>235.43836975097659</v>
          </cell>
          <cell r="E1268">
            <v>50.142566680908203</v>
          </cell>
          <cell r="F1268">
            <v>81.809402465820313</v>
          </cell>
        </row>
        <row r="1269">
          <cell r="A1269">
            <v>43993</v>
          </cell>
          <cell r="B1269">
            <v>170.55549621582031</v>
          </cell>
          <cell r="C1269">
            <v>53.219158172607422</v>
          </cell>
          <cell r="D1269">
            <v>223.20545959472659</v>
          </cell>
          <cell r="E1269">
            <v>47.547874450683587</v>
          </cell>
          <cell r="F1269">
            <v>75.526031494140625</v>
          </cell>
        </row>
        <row r="1270">
          <cell r="A1270">
            <v>43994</v>
          </cell>
          <cell r="B1270">
            <v>173.58892822265619</v>
          </cell>
          <cell r="C1270">
            <v>52.889320373535163</v>
          </cell>
          <cell r="D1270">
            <v>227.3328552246094</v>
          </cell>
          <cell r="E1270">
            <v>48.057540893554688</v>
          </cell>
          <cell r="F1270">
            <v>76.622703552246094</v>
          </cell>
        </row>
        <row r="1271">
          <cell r="A1271">
            <v>43997</v>
          </cell>
          <cell r="B1271">
            <v>177.05854797363281</v>
          </cell>
          <cell r="C1271">
            <v>53.575733184814453</v>
          </cell>
          <cell r="D1271">
            <v>231.2314453125</v>
          </cell>
          <cell r="E1271">
            <v>49.345626831054688</v>
          </cell>
          <cell r="F1271">
            <v>77.656448364257813</v>
          </cell>
        </row>
        <row r="1272">
          <cell r="A1272">
            <v>43998</v>
          </cell>
          <cell r="B1272">
            <v>178.91227722167969</v>
          </cell>
          <cell r="C1272">
            <v>53.843158721923828</v>
          </cell>
          <cell r="D1272">
            <v>234.36424255371091</v>
          </cell>
          <cell r="E1272">
            <v>50.587375640869141</v>
          </cell>
          <cell r="F1272">
            <v>80.470001220703125</v>
          </cell>
        </row>
        <row r="1273">
          <cell r="A1273">
            <v>43999</v>
          </cell>
          <cell r="B1273">
            <v>179.82426452636719</v>
          </cell>
          <cell r="C1273">
            <v>53.923397064208977</v>
          </cell>
          <cell r="D1273">
            <v>234.24491882324219</v>
          </cell>
          <cell r="E1273">
            <v>47.742473602294922</v>
          </cell>
          <cell r="F1273">
            <v>80.847549438476563</v>
          </cell>
        </row>
        <row r="1274">
          <cell r="A1274">
            <v>44000</v>
          </cell>
          <cell r="B1274">
            <v>186.0299072265625</v>
          </cell>
          <cell r="C1274">
            <v>53.557903289794922</v>
          </cell>
          <cell r="D1274">
            <v>234.6526794433594</v>
          </cell>
          <cell r="E1274">
            <v>49.753368377685547</v>
          </cell>
          <cell r="F1274">
            <v>80.829582214355469</v>
          </cell>
        </row>
        <row r="1275">
          <cell r="A1275">
            <v>44001</v>
          </cell>
          <cell r="B1275">
            <v>185.32606506347659</v>
          </cell>
          <cell r="C1275">
            <v>53.147842407226563</v>
          </cell>
          <cell r="D1275">
            <v>237.48712158203119</v>
          </cell>
          <cell r="E1275">
            <v>50.411312103271477</v>
          </cell>
          <cell r="F1275">
            <v>79.831787109375</v>
          </cell>
        </row>
        <row r="1276">
          <cell r="A1276">
            <v>44004</v>
          </cell>
          <cell r="B1276">
            <v>189.98524475097659</v>
          </cell>
          <cell r="C1276">
            <v>53.566818237304688</v>
          </cell>
          <cell r="D1276">
            <v>237.9147644042969</v>
          </cell>
          <cell r="E1276">
            <v>51.078510284423828</v>
          </cell>
          <cell r="F1276">
            <v>80.11944580078125</v>
          </cell>
        </row>
        <row r="1277">
          <cell r="A1277">
            <v>44005</v>
          </cell>
          <cell r="B1277">
            <v>187.41773986816409</v>
          </cell>
          <cell r="C1277">
            <v>53.415267944335938</v>
          </cell>
          <cell r="D1277">
            <v>240.9183044433594</v>
          </cell>
          <cell r="E1277">
            <v>51.143394470214837</v>
          </cell>
          <cell r="F1277">
            <v>80.31719970703125</v>
          </cell>
        </row>
        <row r="1278">
          <cell r="A1278">
            <v>44006</v>
          </cell>
          <cell r="B1278">
            <v>183.938232421875</v>
          </cell>
          <cell r="C1278">
            <v>52.675369262695313</v>
          </cell>
          <cell r="D1278">
            <v>232.74314880371091</v>
          </cell>
          <cell r="E1278">
            <v>50.448375701904297</v>
          </cell>
          <cell r="F1278">
            <v>80.128440856933594</v>
          </cell>
        </row>
        <row r="1279">
          <cell r="A1279">
            <v>44007</v>
          </cell>
          <cell r="B1279">
            <v>186.70399475097659</v>
          </cell>
          <cell r="C1279">
            <v>52.158336639404297</v>
          </cell>
          <cell r="D1279">
            <v>234.3940734863281</v>
          </cell>
          <cell r="E1279">
            <v>50.531776428222663</v>
          </cell>
          <cell r="F1279">
            <v>79.96661376953125</v>
          </cell>
        </row>
        <row r="1280">
          <cell r="A1280">
            <v>44008</v>
          </cell>
          <cell r="B1280">
            <v>181.57891845703119</v>
          </cell>
          <cell r="C1280">
            <v>51.257980346679688</v>
          </cell>
          <cell r="D1280">
            <v>214.9010314941406</v>
          </cell>
          <cell r="E1280">
            <v>50.207439422607422</v>
          </cell>
          <cell r="F1280">
            <v>79.121665954589844</v>
          </cell>
        </row>
        <row r="1281">
          <cell r="A1281">
            <v>44011</v>
          </cell>
          <cell r="B1281">
            <v>181.7375183105469</v>
          </cell>
          <cell r="C1281">
            <v>51.944393157958977</v>
          </cell>
          <cell r="D1281">
            <v>219.43617248535159</v>
          </cell>
          <cell r="E1281">
            <v>50.744915008544922</v>
          </cell>
          <cell r="F1281">
            <v>80.011581420898438</v>
          </cell>
        </row>
        <row r="1282">
          <cell r="A1282">
            <v>44012</v>
          </cell>
          <cell r="B1282">
            <v>185.7027587890625</v>
          </cell>
          <cell r="C1282">
            <v>53.335037231445313</v>
          </cell>
          <cell r="D1282">
            <v>225.8310852050781</v>
          </cell>
          <cell r="E1282">
            <v>51.217521667480469</v>
          </cell>
          <cell r="F1282">
            <v>81.989173889160156</v>
          </cell>
        </row>
        <row r="1283">
          <cell r="A1283">
            <v>44013</v>
          </cell>
          <cell r="B1283">
            <v>190.22315979003909</v>
          </cell>
          <cell r="C1283">
            <v>52.425769805908203</v>
          </cell>
          <cell r="D1283">
            <v>236.25389099121091</v>
          </cell>
          <cell r="E1283">
            <v>51.42138671875</v>
          </cell>
          <cell r="F1283">
            <v>80.703750610351563</v>
          </cell>
        </row>
        <row r="1284">
          <cell r="A1284">
            <v>44014</v>
          </cell>
          <cell r="B1284">
            <v>190.8575744628906</v>
          </cell>
          <cell r="C1284">
            <v>52.711029052734382</v>
          </cell>
          <cell r="D1284">
            <v>232.14643859863281</v>
          </cell>
          <cell r="E1284">
            <v>51.838401794433587</v>
          </cell>
          <cell r="F1284">
            <v>82.58245849609375</v>
          </cell>
        </row>
        <row r="1285">
          <cell r="A1285">
            <v>44018</v>
          </cell>
          <cell r="B1285">
            <v>196.0025329589844</v>
          </cell>
          <cell r="C1285">
            <v>53.076522827148438</v>
          </cell>
          <cell r="D1285">
            <v>238.96900939941409</v>
          </cell>
          <cell r="E1285">
            <v>52.450000762939453</v>
          </cell>
          <cell r="F1285">
            <v>83.526313781738281</v>
          </cell>
        </row>
        <row r="1286">
          <cell r="A1286">
            <v>44019</v>
          </cell>
          <cell r="B1286">
            <v>194.67414855957031</v>
          </cell>
          <cell r="C1286">
            <v>51.980056762695313</v>
          </cell>
          <cell r="D1286">
            <v>239.54585266113281</v>
          </cell>
          <cell r="E1286">
            <v>52.181266784667969</v>
          </cell>
          <cell r="F1286">
            <v>82.825157165527344</v>
          </cell>
        </row>
        <row r="1287">
          <cell r="A1287">
            <v>44020</v>
          </cell>
          <cell r="B1287">
            <v>198.540283203125</v>
          </cell>
          <cell r="C1287">
            <v>52.247482299804688</v>
          </cell>
          <cell r="D1287">
            <v>242.2509765625</v>
          </cell>
          <cell r="E1287">
            <v>52.505599975585938</v>
          </cell>
          <cell r="F1287">
            <v>84.074615478515625</v>
          </cell>
        </row>
        <row r="1288">
          <cell r="A1288">
            <v>44021</v>
          </cell>
          <cell r="B1288">
            <v>198.99629211425781</v>
          </cell>
          <cell r="C1288">
            <v>52.078109741210938</v>
          </cell>
          <cell r="D1288">
            <v>243.1659851074219</v>
          </cell>
          <cell r="E1288">
            <v>53.311809539794922</v>
          </cell>
          <cell r="F1288">
            <v>83.822929382324219</v>
          </cell>
        </row>
        <row r="1289">
          <cell r="A1289">
            <v>44022</v>
          </cell>
          <cell r="B1289">
            <v>197.15245056152341</v>
          </cell>
          <cell r="C1289">
            <v>53.067600250244141</v>
          </cell>
          <cell r="D1289">
            <v>243.7328796386719</v>
          </cell>
          <cell r="E1289">
            <v>53.182075500488281</v>
          </cell>
          <cell r="F1289">
            <v>83.157737731933594</v>
          </cell>
        </row>
        <row r="1290">
          <cell r="A1290">
            <v>44025</v>
          </cell>
          <cell r="B1290">
            <v>186.70399475097659</v>
          </cell>
          <cell r="C1290">
            <v>52.220737457275391</v>
          </cell>
          <cell r="D1290">
            <v>237.69598388671881</v>
          </cell>
          <cell r="E1290">
            <v>52.829936981201172</v>
          </cell>
          <cell r="F1290">
            <v>82.097038269042969</v>
          </cell>
        </row>
        <row r="1291">
          <cell r="A1291">
            <v>44026</v>
          </cell>
          <cell r="B1291">
            <v>187.91339111328119</v>
          </cell>
          <cell r="C1291">
            <v>52.577308654785163</v>
          </cell>
          <cell r="D1291">
            <v>238.4219970703125</v>
          </cell>
          <cell r="E1291">
            <v>53.2301025390625</v>
          </cell>
          <cell r="F1291">
            <v>83.040878295898438</v>
          </cell>
        </row>
        <row r="1292">
          <cell r="A1292">
            <v>44027</v>
          </cell>
          <cell r="B1292">
            <v>186.4561767578125</v>
          </cell>
          <cell r="C1292">
            <v>52.621883392333977</v>
          </cell>
          <cell r="D1292">
            <v>238.96900939941409</v>
          </cell>
          <cell r="E1292">
            <v>52.690353393554688</v>
          </cell>
          <cell r="F1292">
            <v>83.193702697753906</v>
          </cell>
        </row>
        <row r="1293">
          <cell r="A1293">
            <v>44028</v>
          </cell>
          <cell r="B1293">
            <v>183.8985900878906</v>
          </cell>
          <cell r="C1293">
            <v>52.719947814941413</v>
          </cell>
          <cell r="D1293">
            <v>239.6154479980469</v>
          </cell>
          <cell r="E1293">
            <v>51.945869445800781</v>
          </cell>
          <cell r="F1293">
            <v>81.980186462402344</v>
          </cell>
        </row>
        <row r="1294">
          <cell r="A1294">
            <v>44029</v>
          </cell>
          <cell r="B1294">
            <v>186.14888000488281</v>
          </cell>
          <cell r="C1294">
            <v>53.486591339111328</v>
          </cell>
          <cell r="D1294">
            <v>240.70945739746091</v>
          </cell>
          <cell r="E1294">
            <v>51.089733123779297</v>
          </cell>
          <cell r="F1294">
            <v>82.906059265136719</v>
          </cell>
        </row>
        <row r="1295">
          <cell r="A1295">
            <v>44032</v>
          </cell>
          <cell r="B1295">
            <v>193.3953552246094</v>
          </cell>
          <cell r="C1295">
            <v>54.511741638183587</v>
          </cell>
          <cell r="D1295">
            <v>244.08094787597659</v>
          </cell>
          <cell r="E1295">
            <v>51.555023193359382</v>
          </cell>
          <cell r="F1295">
            <v>83.751029968261719</v>
          </cell>
        </row>
        <row r="1296">
          <cell r="A1296">
            <v>44033</v>
          </cell>
          <cell r="B1296">
            <v>189.14262390136719</v>
          </cell>
          <cell r="C1296">
            <v>54.110603332519531</v>
          </cell>
          <cell r="D1296">
            <v>240.43098449707031</v>
          </cell>
          <cell r="E1296">
            <v>52.029628753662109</v>
          </cell>
          <cell r="F1296">
            <v>82.977951049804688</v>
          </cell>
        </row>
        <row r="1297">
          <cell r="A1297">
            <v>44034</v>
          </cell>
          <cell r="B1297">
            <v>189.648193359375</v>
          </cell>
          <cell r="C1297">
            <v>54.422599792480469</v>
          </cell>
          <cell r="D1297">
            <v>238.56121826171881</v>
          </cell>
          <cell r="E1297">
            <v>52.122684478759773</v>
          </cell>
          <cell r="F1297">
            <v>83.238662719726563</v>
          </cell>
        </row>
        <row r="1298">
          <cell r="A1298">
            <v>44035</v>
          </cell>
          <cell r="B1298">
            <v>186.9022521972656</v>
          </cell>
          <cell r="C1298">
            <v>53.843158721923828</v>
          </cell>
          <cell r="D1298">
            <v>231.33091735839841</v>
          </cell>
          <cell r="E1298">
            <v>51.890037536621087</v>
          </cell>
          <cell r="F1298">
            <v>80.6048583984375</v>
          </cell>
        </row>
        <row r="1299">
          <cell r="A1299">
            <v>44036</v>
          </cell>
          <cell r="B1299">
            <v>186.8526916503906</v>
          </cell>
          <cell r="C1299">
            <v>45.098110198974609</v>
          </cell>
          <cell r="D1299">
            <v>229.45121765136719</v>
          </cell>
          <cell r="E1299">
            <v>51.787673950195313</v>
          </cell>
          <cell r="F1299">
            <v>79.903709411621094</v>
          </cell>
        </row>
        <row r="1300">
          <cell r="A1300">
            <v>44039</v>
          </cell>
          <cell r="B1300">
            <v>189.30125427246091</v>
          </cell>
          <cell r="C1300">
            <v>44.188835144042969</v>
          </cell>
          <cell r="D1300">
            <v>232.2259826660156</v>
          </cell>
          <cell r="E1300">
            <v>51.499183654785163</v>
          </cell>
          <cell r="F1300">
            <v>83.328536987304688</v>
          </cell>
        </row>
        <row r="1301">
          <cell r="A1301">
            <v>44040</v>
          </cell>
          <cell r="B1301">
            <v>187.8539123535156</v>
          </cell>
          <cell r="C1301">
            <v>43.894660949707031</v>
          </cell>
          <cell r="D1301">
            <v>228.86442565917969</v>
          </cell>
          <cell r="E1301">
            <v>51.508495330810547</v>
          </cell>
          <cell r="F1301">
            <v>82.204902648925781</v>
          </cell>
        </row>
        <row r="1302">
          <cell r="A1302">
            <v>44041</v>
          </cell>
          <cell r="B1302">
            <v>191.92822265625</v>
          </cell>
          <cell r="C1302">
            <v>42.851673126220703</v>
          </cell>
          <cell r="D1302">
            <v>232.0171203613281</v>
          </cell>
          <cell r="E1302">
            <v>51.834201812744141</v>
          </cell>
          <cell r="F1302">
            <v>83.625198364257813</v>
          </cell>
        </row>
        <row r="1303">
          <cell r="A1303">
            <v>44042</v>
          </cell>
          <cell r="B1303">
            <v>190.03480529785159</v>
          </cell>
          <cell r="C1303">
            <v>42.780357360839837</v>
          </cell>
          <cell r="D1303">
            <v>233.22053527832031</v>
          </cell>
          <cell r="E1303">
            <v>51.415439605712891</v>
          </cell>
          <cell r="F1303">
            <v>96.353668212890625</v>
          </cell>
        </row>
        <row r="1304">
          <cell r="A1304">
            <v>44043</v>
          </cell>
          <cell r="B1304">
            <v>193.1574401855469</v>
          </cell>
          <cell r="C1304">
            <v>42.548572540283203</v>
          </cell>
          <cell r="D1304">
            <v>252.28593444824219</v>
          </cell>
          <cell r="E1304">
            <v>51.601554870605469</v>
          </cell>
          <cell r="F1304">
            <v>94.933403015136719</v>
          </cell>
        </row>
        <row r="1305">
          <cell r="A1305">
            <v>44046</v>
          </cell>
          <cell r="B1305">
            <v>201.4250183105469</v>
          </cell>
          <cell r="C1305">
            <v>43.056697845458977</v>
          </cell>
          <cell r="D1305">
            <v>250.58528137207031</v>
          </cell>
          <cell r="E1305">
            <v>52.094768524169922</v>
          </cell>
          <cell r="F1305">
            <v>98.511054992675781</v>
          </cell>
        </row>
        <row r="1306">
          <cell r="A1306">
            <v>44047</v>
          </cell>
          <cell r="B1306">
            <v>199.66046142578119</v>
          </cell>
          <cell r="C1306">
            <v>43.796600341796882</v>
          </cell>
          <cell r="D1306">
            <v>248.4669189453125</v>
          </cell>
          <cell r="E1306">
            <v>52.113384246826172</v>
          </cell>
          <cell r="F1306">
            <v>99.733573913574219</v>
          </cell>
        </row>
        <row r="1307">
          <cell r="A1307">
            <v>44048</v>
          </cell>
          <cell r="B1307">
            <v>200.87977600097659</v>
          </cell>
          <cell r="C1307">
            <v>43.609397888183587</v>
          </cell>
          <cell r="D1307">
            <v>247.7607727050781</v>
          </cell>
          <cell r="E1307">
            <v>51.648082733154297</v>
          </cell>
          <cell r="F1307">
            <v>100.1290817260742</v>
          </cell>
        </row>
        <row r="1308">
          <cell r="A1308">
            <v>44049</v>
          </cell>
          <cell r="B1308">
            <v>205.98504638671881</v>
          </cell>
          <cell r="C1308">
            <v>43.591453552246087</v>
          </cell>
          <cell r="D1308">
            <v>263.83261108398438</v>
          </cell>
          <cell r="E1308">
            <v>51.443347930908203</v>
          </cell>
          <cell r="F1308">
            <v>99.832435607910156</v>
          </cell>
        </row>
        <row r="1309">
          <cell r="A1309">
            <v>44050</v>
          </cell>
          <cell r="B1309">
            <v>199.3035888671875</v>
          </cell>
          <cell r="C1309">
            <v>43.106796264648438</v>
          </cell>
          <cell r="D1309">
            <v>266.975341796875</v>
          </cell>
          <cell r="E1309">
            <v>51.396823883056641</v>
          </cell>
          <cell r="F1309">
            <v>97.306526184082031</v>
          </cell>
        </row>
        <row r="1310">
          <cell r="A1310">
            <v>44053</v>
          </cell>
          <cell r="B1310">
            <v>195.44740295410159</v>
          </cell>
          <cell r="C1310">
            <v>44.174823760986328</v>
          </cell>
          <cell r="D1310">
            <v>261.5650634765625</v>
          </cell>
          <cell r="E1310">
            <v>51.126953125</v>
          </cell>
          <cell r="F1310">
            <v>95.607597351074219</v>
          </cell>
        </row>
        <row r="1311">
          <cell r="A1311">
            <v>44054</v>
          </cell>
          <cell r="B1311">
            <v>190.3222961425781</v>
          </cell>
          <cell r="C1311">
            <v>43.250396728515618</v>
          </cell>
          <cell r="D1311">
            <v>254.73252868652341</v>
          </cell>
          <cell r="E1311">
            <v>50.503448486328118</v>
          </cell>
          <cell r="F1311">
            <v>97.827873229980469</v>
          </cell>
        </row>
        <row r="1312">
          <cell r="A1312">
            <v>44055</v>
          </cell>
          <cell r="B1312">
            <v>190.94682312011719</v>
          </cell>
          <cell r="C1312">
            <v>44.147891998291023</v>
          </cell>
          <cell r="D1312">
            <v>258.47201538085938</v>
          </cell>
          <cell r="E1312">
            <v>50.410392761230469</v>
          </cell>
          <cell r="F1312">
            <v>104.0842742919922</v>
          </cell>
        </row>
        <row r="1313">
          <cell r="A1313">
            <v>44056</v>
          </cell>
          <cell r="B1313">
            <v>193.44493103027341</v>
          </cell>
          <cell r="C1313">
            <v>43.582466125488281</v>
          </cell>
          <cell r="D1313">
            <v>259.87429809570313</v>
          </cell>
          <cell r="E1313">
            <v>50.270801544189453</v>
          </cell>
          <cell r="F1313">
            <v>101.9448699951172</v>
          </cell>
        </row>
        <row r="1314">
          <cell r="A1314">
            <v>44057</v>
          </cell>
          <cell r="B1314">
            <v>191.77952575683591</v>
          </cell>
          <cell r="C1314">
            <v>43.878643035888672</v>
          </cell>
          <cell r="D1314">
            <v>259.81460571289063</v>
          </cell>
          <cell r="E1314">
            <v>50.438312530517578</v>
          </cell>
          <cell r="F1314">
            <v>102.2415237426758</v>
          </cell>
        </row>
        <row r="1315">
          <cell r="A1315">
            <v>44060</v>
          </cell>
          <cell r="B1315">
            <v>195.03102111816409</v>
          </cell>
          <cell r="C1315">
            <v>43.914543151855469</v>
          </cell>
          <cell r="D1315">
            <v>259.735107421875</v>
          </cell>
          <cell r="E1315">
            <v>50.242897033691413</v>
          </cell>
          <cell r="F1315">
            <v>100.839225769043</v>
          </cell>
        </row>
        <row r="1316">
          <cell r="A1316">
            <v>44061</v>
          </cell>
          <cell r="B1316">
            <v>202.23786926269531</v>
          </cell>
          <cell r="C1316">
            <v>43.663242340087891</v>
          </cell>
          <cell r="D1316">
            <v>260.90866088867188</v>
          </cell>
          <cell r="E1316">
            <v>51.350292205810547</v>
          </cell>
          <cell r="F1316">
            <v>100.70436859130859</v>
          </cell>
        </row>
        <row r="1317">
          <cell r="A1317">
            <v>44062</v>
          </cell>
          <cell r="B1317">
            <v>203.32832336425781</v>
          </cell>
          <cell r="C1317">
            <v>43.376056671142578</v>
          </cell>
          <cell r="D1317">
            <v>261.15719604492188</v>
          </cell>
          <cell r="E1317">
            <v>52.299495697021477</v>
          </cell>
          <cell r="F1317">
            <v>99.814460754394531</v>
          </cell>
        </row>
        <row r="1318">
          <cell r="A1318">
            <v>44063</v>
          </cell>
          <cell r="B1318">
            <v>207.6900939941406</v>
          </cell>
          <cell r="C1318">
            <v>44.12994384765625</v>
          </cell>
          <cell r="D1318">
            <v>267.54226684570313</v>
          </cell>
          <cell r="E1318">
            <v>51.424747467041023</v>
          </cell>
          <cell r="F1318">
            <v>99.472869873046875</v>
          </cell>
        </row>
        <row r="1319">
          <cell r="A1319">
            <v>44064</v>
          </cell>
          <cell r="B1319">
            <v>205.72731018066409</v>
          </cell>
          <cell r="C1319">
            <v>44.228664398193359</v>
          </cell>
          <cell r="D1319">
            <v>265.55316162109381</v>
          </cell>
          <cell r="E1319">
            <v>51.359603881835938</v>
          </cell>
          <cell r="F1319">
            <v>101.5763397216797</v>
          </cell>
        </row>
        <row r="1320">
          <cell r="A1320">
            <v>44067</v>
          </cell>
          <cell r="B1320">
            <v>206.64921569824219</v>
          </cell>
          <cell r="C1320">
            <v>44.103008270263672</v>
          </cell>
          <cell r="D1320">
            <v>269.90927124023438</v>
          </cell>
          <cell r="E1320">
            <v>52.122684478759773</v>
          </cell>
          <cell r="F1320">
            <v>104.1921310424805</v>
          </cell>
        </row>
        <row r="1321">
          <cell r="A1321">
            <v>44068</v>
          </cell>
          <cell r="B1321">
            <v>214.1733093261719</v>
          </cell>
          <cell r="C1321">
            <v>44.363285064697273</v>
          </cell>
          <cell r="D1321">
            <v>279.28781127929688</v>
          </cell>
          <cell r="E1321">
            <v>52.1971435546875</v>
          </cell>
          <cell r="F1321">
            <v>104.22808837890619</v>
          </cell>
        </row>
        <row r="1322">
          <cell r="A1322">
            <v>44069</v>
          </cell>
          <cell r="B1322">
            <v>269.95449829101563</v>
          </cell>
          <cell r="C1322">
            <v>44.470993041992188</v>
          </cell>
          <cell r="D1322">
            <v>302.25180053710938</v>
          </cell>
          <cell r="E1322">
            <v>53.499965667724609</v>
          </cell>
          <cell r="F1322">
            <v>104.3089981079102</v>
          </cell>
        </row>
        <row r="1323">
          <cell r="A1323">
            <v>44070</v>
          </cell>
          <cell r="B1323">
            <v>273.91973876953119</v>
          </cell>
          <cell r="C1323">
            <v>44.336368560791023</v>
          </cell>
          <cell r="D1323">
            <v>291.62014770507813</v>
          </cell>
          <cell r="E1323">
            <v>53.21148681640625</v>
          </cell>
          <cell r="F1323">
            <v>104.291015625</v>
          </cell>
        </row>
        <row r="1324">
          <cell r="A1324">
            <v>44071</v>
          </cell>
          <cell r="B1324">
            <v>268.74514770507813</v>
          </cell>
          <cell r="C1324">
            <v>45.260795593261719</v>
          </cell>
          <cell r="D1324">
            <v>292.0577392578125</v>
          </cell>
          <cell r="E1324">
            <v>53.862903594970703</v>
          </cell>
          <cell r="F1324">
            <v>106.25062561035161</v>
          </cell>
        </row>
        <row r="1325">
          <cell r="A1325">
            <v>44074</v>
          </cell>
          <cell r="B1325">
            <v>270.28164672851563</v>
          </cell>
          <cell r="C1325">
            <v>45.727489471435547</v>
          </cell>
          <cell r="D1325">
            <v>291.60028076171881</v>
          </cell>
          <cell r="E1325">
            <v>53.248703002929688</v>
          </cell>
          <cell r="F1325">
            <v>107.0596389770508</v>
          </cell>
        </row>
        <row r="1326">
          <cell r="A1326">
            <v>44075</v>
          </cell>
          <cell r="B1326">
            <v>278.80691528320313</v>
          </cell>
          <cell r="C1326">
            <v>45.583892822265618</v>
          </cell>
          <cell r="D1326">
            <v>293.82803344726563</v>
          </cell>
          <cell r="E1326">
            <v>53.658172607421882</v>
          </cell>
          <cell r="F1326">
            <v>109.6754608154297</v>
          </cell>
        </row>
        <row r="1327">
          <cell r="A1327">
            <v>44076</v>
          </cell>
          <cell r="B1327">
            <v>274.28652954101563</v>
          </cell>
          <cell r="C1327">
            <v>46.894241333007813</v>
          </cell>
          <cell r="D1327">
            <v>300.84951782226563</v>
          </cell>
          <cell r="E1327">
            <v>54.933086395263672</v>
          </cell>
          <cell r="F1327">
            <v>111.3202362060547</v>
          </cell>
        </row>
        <row r="1328">
          <cell r="A1328">
            <v>44077</v>
          </cell>
          <cell r="B1328">
            <v>262.7080078125</v>
          </cell>
          <cell r="C1328">
            <v>45.224884033203118</v>
          </cell>
          <cell r="D1328">
            <v>289.5316162109375</v>
          </cell>
          <cell r="E1328">
            <v>53.137035369873047</v>
          </cell>
          <cell r="F1328">
            <v>105.22010803222661</v>
          </cell>
        </row>
        <row r="1329">
          <cell r="A1329">
            <v>44078</v>
          </cell>
          <cell r="B1329">
            <v>252.48756408691409</v>
          </cell>
          <cell r="C1329">
            <v>44.946662902832031</v>
          </cell>
          <cell r="D1329">
            <v>281.1873779296875</v>
          </cell>
          <cell r="E1329">
            <v>51.862129211425781</v>
          </cell>
          <cell r="F1329">
            <v>104.8044052124023</v>
          </cell>
        </row>
        <row r="1330">
          <cell r="A1330">
            <v>44082</v>
          </cell>
          <cell r="B1330">
            <v>239.1742248535156</v>
          </cell>
          <cell r="C1330">
            <v>43.896602630615227</v>
          </cell>
          <cell r="D1330">
            <v>269.68051147460938</v>
          </cell>
          <cell r="E1330">
            <v>51.480579376220703</v>
          </cell>
          <cell r="F1330">
            <v>99.201332092285156</v>
          </cell>
        </row>
        <row r="1331">
          <cell r="A1331">
            <v>44083</v>
          </cell>
          <cell r="B1331">
            <v>248.25465393066409</v>
          </cell>
          <cell r="C1331">
            <v>44.5338134765625</v>
          </cell>
          <cell r="D1331">
            <v>272.2265625</v>
          </cell>
          <cell r="E1331">
            <v>52.997455596923828</v>
          </cell>
          <cell r="F1331">
            <v>103.0421524047852</v>
          </cell>
        </row>
        <row r="1332">
          <cell r="A1332">
            <v>44084</v>
          </cell>
          <cell r="B1332">
            <v>245.64750671386719</v>
          </cell>
          <cell r="C1332">
            <v>43.941471099853523</v>
          </cell>
          <cell r="D1332">
            <v>266.62722778320313</v>
          </cell>
          <cell r="E1332">
            <v>53.35107421875</v>
          </cell>
          <cell r="F1332">
            <v>101.61428070068359</v>
          </cell>
        </row>
        <row r="1333">
          <cell r="A1333">
            <v>44085</v>
          </cell>
          <cell r="B1333">
            <v>240.98832702636719</v>
          </cell>
          <cell r="C1333">
            <v>44.228664398193359</v>
          </cell>
          <cell r="D1333">
            <v>265.1552734375</v>
          </cell>
          <cell r="E1333">
            <v>53.043972015380859</v>
          </cell>
          <cell r="F1333">
            <v>102.4999237060547</v>
          </cell>
        </row>
        <row r="1334">
          <cell r="A1334">
            <v>44088</v>
          </cell>
          <cell r="B1334">
            <v>244.49755859375</v>
          </cell>
          <cell r="C1334">
            <v>44.345352172851563</v>
          </cell>
          <cell r="D1334">
            <v>264.69784545898438</v>
          </cell>
          <cell r="E1334">
            <v>55.333240509033203</v>
          </cell>
          <cell r="F1334">
            <v>102.5360870361328</v>
          </cell>
        </row>
        <row r="1335">
          <cell r="A1335">
            <v>44089</v>
          </cell>
          <cell r="B1335">
            <v>249.4937744140625</v>
          </cell>
          <cell r="C1335">
            <v>44.874866485595703</v>
          </cell>
          <cell r="D1335">
            <v>270.93362426757813</v>
          </cell>
          <cell r="E1335">
            <v>56.710521697998047</v>
          </cell>
          <cell r="F1335">
            <v>105.3556823730469</v>
          </cell>
        </row>
        <row r="1336">
          <cell r="A1336">
            <v>44090</v>
          </cell>
          <cell r="B1336">
            <v>248.4231872558594</v>
          </cell>
          <cell r="C1336">
            <v>45.206935882568359</v>
          </cell>
          <cell r="D1336">
            <v>262.0821533203125</v>
          </cell>
          <cell r="E1336">
            <v>56.235927581787109</v>
          </cell>
          <cell r="F1336">
            <v>103.5301513671875</v>
          </cell>
        </row>
        <row r="1337">
          <cell r="A1337">
            <v>44091</v>
          </cell>
          <cell r="B1337">
            <v>242.4059143066406</v>
          </cell>
          <cell r="C1337">
            <v>45.162067413330078</v>
          </cell>
          <cell r="D1337">
            <v>253.42967224121091</v>
          </cell>
          <cell r="E1337">
            <v>56.003273010253913</v>
          </cell>
          <cell r="F1337">
            <v>103.81935119628911</v>
          </cell>
        </row>
        <row r="1338">
          <cell r="A1338">
            <v>44092</v>
          </cell>
          <cell r="B1338">
            <v>240.6711120605469</v>
          </cell>
          <cell r="C1338">
            <v>44.776142120361328</v>
          </cell>
          <cell r="D1338">
            <v>251.15216064453119</v>
          </cell>
          <cell r="E1338">
            <v>55.603111267089837</v>
          </cell>
          <cell r="F1338">
            <v>100.0327606201172</v>
          </cell>
        </row>
        <row r="1339">
          <cell r="A1339">
            <v>44095</v>
          </cell>
          <cell r="B1339">
            <v>242.92137145996091</v>
          </cell>
          <cell r="C1339">
            <v>44.623565673828118</v>
          </cell>
          <cell r="D1339">
            <v>246.79603576660159</v>
          </cell>
          <cell r="E1339">
            <v>56.598850250244141</v>
          </cell>
          <cell r="F1339">
            <v>101.14434814453119</v>
          </cell>
        </row>
        <row r="1340">
          <cell r="A1340">
            <v>44096</v>
          </cell>
          <cell r="B1340">
            <v>245.62767028808591</v>
          </cell>
          <cell r="C1340">
            <v>44.829990386962891</v>
          </cell>
          <cell r="D1340">
            <v>253.36003112792969</v>
          </cell>
          <cell r="E1340">
            <v>56.412738800048828</v>
          </cell>
          <cell r="F1340">
            <v>102.8614120483398</v>
          </cell>
        </row>
        <row r="1341">
          <cell r="A1341">
            <v>44097</v>
          </cell>
          <cell r="B1341">
            <v>233.9400939941406</v>
          </cell>
          <cell r="C1341">
            <v>43.815818786621087</v>
          </cell>
          <cell r="D1341">
            <v>247.66131591796881</v>
          </cell>
          <cell r="E1341">
            <v>54.867946624755859</v>
          </cell>
          <cell r="F1341">
            <v>99.924308776855469</v>
          </cell>
        </row>
        <row r="1342">
          <cell r="A1342">
            <v>44098</v>
          </cell>
          <cell r="B1342">
            <v>235.48652648925781</v>
          </cell>
          <cell r="C1342">
            <v>44.120975494384773</v>
          </cell>
          <cell r="D1342">
            <v>248.16853332519531</v>
          </cell>
          <cell r="E1342">
            <v>55.184349060058587</v>
          </cell>
          <cell r="F1342">
            <v>101.3883361816406</v>
          </cell>
        </row>
        <row r="1343">
          <cell r="A1343">
            <v>44099</v>
          </cell>
          <cell r="B1343">
            <v>240.6314697265625</v>
          </cell>
          <cell r="C1343">
            <v>44.821014404296882</v>
          </cell>
          <cell r="D1343">
            <v>253.42967224121091</v>
          </cell>
          <cell r="E1343">
            <v>55.649642944335938</v>
          </cell>
          <cell r="F1343">
            <v>103.475944519043</v>
          </cell>
        </row>
        <row r="1344">
          <cell r="A1344">
            <v>44102</v>
          </cell>
          <cell r="B1344">
            <v>244.5273132324219</v>
          </cell>
          <cell r="C1344">
            <v>46.158287048339837</v>
          </cell>
          <cell r="D1344">
            <v>255.41876220703119</v>
          </cell>
          <cell r="E1344">
            <v>55.444915771484382</v>
          </cell>
          <cell r="F1344">
            <v>107.06370544433589</v>
          </cell>
        </row>
        <row r="1345">
          <cell r="A1345">
            <v>44103</v>
          </cell>
          <cell r="B1345">
            <v>245.30055236816409</v>
          </cell>
          <cell r="C1345">
            <v>45.942878723144531</v>
          </cell>
          <cell r="D1345">
            <v>260.36166381835938</v>
          </cell>
          <cell r="E1345">
            <v>55.342555999755859</v>
          </cell>
          <cell r="F1345">
            <v>106.0786437988281</v>
          </cell>
        </row>
        <row r="1346">
          <cell r="A1346">
            <v>44104</v>
          </cell>
          <cell r="B1346">
            <v>249.13691711425781</v>
          </cell>
          <cell r="C1346">
            <v>46.472415924072273</v>
          </cell>
          <cell r="D1346">
            <v>260.4710693359375</v>
          </cell>
          <cell r="E1346">
            <v>55.556594848632813</v>
          </cell>
          <cell r="F1346">
            <v>106.3497848510742</v>
          </cell>
        </row>
        <row r="1347">
          <cell r="A1347">
            <v>44105</v>
          </cell>
          <cell r="B1347">
            <v>251.24842834472659</v>
          </cell>
          <cell r="C1347">
            <v>46.885261535644531</v>
          </cell>
          <cell r="D1347">
            <v>265.17526245117188</v>
          </cell>
          <cell r="E1347">
            <v>55.537971496582031</v>
          </cell>
          <cell r="F1347">
            <v>108.0126037597656</v>
          </cell>
        </row>
        <row r="1348">
          <cell r="A1348">
            <v>44106</v>
          </cell>
          <cell r="B1348">
            <v>245.69706726074219</v>
          </cell>
          <cell r="C1348">
            <v>45.781337738037109</v>
          </cell>
          <cell r="D1348">
            <v>258.521728515625</v>
          </cell>
          <cell r="E1348">
            <v>54.746971130371087</v>
          </cell>
          <cell r="F1348">
            <v>104.3525390625</v>
          </cell>
        </row>
        <row r="1349">
          <cell r="A1349">
            <v>44109</v>
          </cell>
          <cell r="B1349">
            <v>249.3450927734375</v>
          </cell>
          <cell r="C1349">
            <v>46.391635894775391</v>
          </cell>
          <cell r="D1349">
            <v>263.20602416992188</v>
          </cell>
          <cell r="E1349">
            <v>55.426303863525391</v>
          </cell>
          <cell r="F1349">
            <v>108.9162979125977</v>
          </cell>
        </row>
        <row r="1350">
          <cell r="A1350">
            <v>44110</v>
          </cell>
          <cell r="B1350">
            <v>247.9671630859375</v>
          </cell>
          <cell r="C1350">
            <v>46.104446411132813</v>
          </cell>
          <cell r="D1350">
            <v>257.24871826171881</v>
          </cell>
          <cell r="E1350">
            <v>55.379768371582031</v>
          </cell>
          <cell r="F1350">
            <v>108.0306854248047</v>
          </cell>
        </row>
        <row r="1351">
          <cell r="A1351">
            <v>44111</v>
          </cell>
          <cell r="B1351">
            <v>257.72171020507813</v>
          </cell>
          <cell r="C1351">
            <v>47.271190643310547</v>
          </cell>
          <cell r="D1351">
            <v>256.711669921875</v>
          </cell>
          <cell r="E1351">
            <v>56.613132476806641</v>
          </cell>
          <cell r="F1351">
            <v>111.18466949462891</v>
          </cell>
        </row>
        <row r="1352">
          <cell r="A1352">
            <v>44112</v>
          </cell>
          <cell r="B1352">
            <v>257.95965576171881</v>
          </cell>
          <cell r="C1352">
            <v>47.899436950683587</v>
          </cell>
          <cell r="D1352">
            <v>262.3209228515625</v>
          </cell>
          <cell r="E1352">
            <v>56.893440246582031</v>
          </cell>
          <cell r="F1352">
            <v>110.5610885620117</v>
          </cell>
        </row>
        <row r="1353">
          <cell r="A1353">
            <v>44113</v>
          </cell>
          <cell r="B1353">
            <v>263.66961669921881</v>
          </cell>
          <cell r="C1353">
            <v>47.405807495117188</v>
          </cell>
          <cell r="D1353">
            <v>263.00711059570313</v>
          </cell>
          <cell r="E1353">
            <v>57.136383056640618</v>
          </cell>
          <cell r="F1353">
            <v>112.84751892089839</v>
          </cell>
        </row>
        <row r="1354">
          <cell r="A1354">
            <v>44116</v>
          </cell>
          <cell r="B1354">
            <v>264.75009155273438</v>
          </cell>
          <cell r="C1354">
            <v>48.357158660888672</v>
          </cell>
          <cell r="D1354">
            <v>274.24545288085938</v>
          </cell>
          <cell r="E1354">
            <v>57.426033020019531</v>
          </cell>
          <cell r="F1354">
            <v>114.49228668212891</v>
          </cell>
        </row>
        <row r="1355">
          <cell r="A1355">
            <v>44117</v>
          </cell>
          <cell r="B1355">
            <v>264.51217651367188</v>
          </cell>
          <cell r="C1355">
            <v>48.312290191650391</v>
          </cell>
          <cell r="D1355">
            <v>274.63333129882813</v>
          </cell>
          <cell r="E1355">
            <v>56.968185424804688</v>
          </cell>
          <cell r="F1355">
            <v>115.1881408691406</v>
          </cell>
        </row>
        <row r="1356">
          <cell r="A1356">
            <v>44118</v>
          </cell>
          <cell r="B1356">
            <v>259.55560302734381</v>
          </cell>
          <cell r="C1356">
            <v>48.060981750488281</v>
          </cell>
          <cell r="D1356">
            <v>270.33694458007813</v>
          </cell>
          <cell r="E1356">
            <v>56.958850860595703</v>
          </cell>
          <cell r="F1356">
            <v>117.3751602172852</v>
          </cell>
        </row>
        <row r="1357">
          <cell r="A1357">
            <v>44119</v>
          </cell>
          <cell r="B1357">
            <v>255.4813537597656</v>
          </cell>
          <cell r="C1357">
            <v>48.330223083496087</v>
          </cell>
          <cell r="D1357">
            <v>265.26473999023438</v>
          </cell>
          <cell r="E1357">
            <v>56.547725677490227</v>
          </cell>
          <cell r="F1357">
            <v>116.200309753418</v>
          </cell>
        </row>
        <row r="1358">
          <cell r="A1358">
            <v>44120</v>
          </cell>
          <cell r="B1358">
            <v>256.3040771484375</v>
          </cell>
          <cell r="C1358">
            <v>48.60845947265625</v>
          </cell>
          <cell r="D1358">
            <v>264.47900390625</v>
          </cell>
          <cell r="E1358">
            <v>56.33282470703125</v>
          </cell>
          <cell r="F1358">
            <v>116.6069717407227</v>
          </cell>
        </row>
        <row r="1359">
          <cell r="A1359">
            <v>44123</v>
          </cell>
          <cell r="B1359">
            <v>252.79487609863281</v>
          </cell>
          <cell r="C1359">
            <v>48.985408782958977</v>
          </cell>
          <cell r="D1359">
            <v>259.97372436523438</v>
          </cell>
          <cell r="E1359">
            <v>55.706798553466797</v>
          </cell>
          <cell r="F1359">
            <v>116.0557098388672</v>
          </cell>
        </row>
        <row r="1360">
          <cell r="A1360">
            <v>44124</v>
          </cell>
          <cell r="B1360">
            <v>253.7465515136719</v>
          </cell>
          <cell r="C1360">
            <v>47.953277587890618</v>
          </cell>
          <cell r="D1360">
            <v>266.10015869140619</v>
          </cell>
          <cell r="E1360">
            <v>55.828262329101563</v>
          </cell>
          <cell r="F1360">
            <v>115.94728088378911</v>
          </cell>
        </row>
        <row r="1361">
          <cell r="A1361">
            <v>44125</v>
          </cell>
          <cell r="B1361">
            <v>252.0216369628906</v>
          </cell>
          <cell r="C1361">
            <v>48.016105651855469</v>
          </cell>
          <cell r="D1361">
            <v>277.20925903320313</v>
          </cell>
          <cell r="E1361">
            <v>55.753517150878913</v>
          </cell>
          <cell r="F1361">
            <v>116.1732177734375</v>
          </cell>
        </row>
        <row r="1362">
          <cell r="A1362">
            <v>44126</v>
          </cell>
          <cell r="B1362">
            <v>247.50126647949219</v>
          </cell>
          <cell r="C1362">
            <v>48.375106811523438</v>
          </cell>
          <cell r="D1362">
            <v>276.6025390625</v>
          </cell>
          <cell r="E1362">
            <v>55.772205352783203</v>
          </cell>
          <cell r="F1362">
            <v>116.0195770263672</v>
          </cell>
        </row>
        <row r="1363">
          <cell r="A1363">
            <v>44127</v>
          </cell>
          <cell r="B1363">
            <v>248.3438720703125</v>
          </cell>
          <cell r="C1363">
            <v>43.259372711181641</v>
          </cell>
          <cell r="D1363">
            <v>283.23614501953119</v>
          </cell>
          <cell r="E1363">
            <v>55.968421936035163</v>
          </cell>
          <cell r="F1363">
            <v>116.47145080566411</v>
          </cell>
        </row>
        <row r="1364">
          <cell r="A1364">
            <v>44130</v>
          </cell>
          <cell r="B1364">
            <v>239.8780517578125</v>
          </cell>
          <cell r="C1364">
            <v>41.931068420410163</v>
          </cell>
          <cell r="D1364">
            <v>275.59808349609381</v>
          </cell>
          <cell r="E1364">
            <v>53.716606140136719</v>
          </cell>
          <cell r="F1364">
            <v>114.04945373535161</v>
          </cell>
        </row>
        <row r="1365">
          <cell r="A1365">
            <v>44131</v>
          </cell>
          <cell r="B1365">
            <v>248.12579345703119</v>
          </cell>
          <cell r="C1365">
            <v>40.961780548095703</v>
          </cell>
          <cell r="D1365">
            <v>281.74435424804688</v>
          </cell>
          <cell r="E1365">
            <v>53.333515167236328</v>
          </cell>
          <cell r="F1365">
            <v>113.7873840332031</v>
          </cell>
        </row>
        <row r="1366">
          <cell r="A1366">
            <v>44132</v>
          </cell>
          <cell r="B1366">
            <v>236.35888671875</v>
          </cell>
          <cell r="C1366">
            <v>39.714256286621087</v>
          </cell>
          <cell r="D1366">
            <v>266.20956420898438</v>
          </cell>
          <cell r="E1366">
            <v>51.941314697265618</v>
          </cell>
          <cell r="F1366">
            <v>109.87428283691411</v>
          </cell>
        </row>
        <row r="1367">
          <cell r="A1367">
            <v>44133</v>
          </cell>
          <cell r="B1367">
            <v>235.0801086425781</v>
          </cell>
          <cell r="C1367">
            <v>39.588607788085938</v>
          </cell>
          <cell r="D1367">
            <v>279.29776000976563</v>
          </cell>
          <cell r="E1367">
            <v>52.343093872070313</v>
          </cell>
          <cell r="F1367">
            <v>114.266357421875</v>
          </cell>
        </row>
        <row r="1368">
          <cell r="A1368">
            <v>44134</v>
          </cell>
          <cell r="B1368">
            <v>230.2524108886719</v>
          </cell>
          <cell r="C1368">
            <v>39.741180419921882</v>
          </cell>
          <cell r="D1368">
            <v>261.67440795898438</v>
          </cell>
          <cell r="E1368">
            <v>52.427169799804688</v>
          </cell>
          <cell r="F1368">
            <v>111.48289489746089</v>
          </cell>
        </row>
        <row r="1369">
          <cell r="A1369">
            <v>44137</v>
          </cell>
          <cell r="B1369">
            <v>230.43083190917969</v>
          </cell>
          <cell r="C1369">
            <v>39.902732849121087</v>
          </cell>
          <cell r="D1369">
            <v>259.9339599609375</v>
          </cell>
          <cell r="E1369">
            <v>52.744865417480469</v>
          </cell>
          <cell r="F1369">
            <v>112.0341720581055</v>
          </cell>
        </row>
        <row r="1370">
          <cell r="A1370">
            <v>44138</v>
          </cell>
          <cell r="B1370">
            <v>235.07020568847659</v>
          </cell>
          <cell r="C1370">
            <v>40.252750396728523</v>
          </cell>
          <cell r="D1370">
            <v>263.85247802734381</v>
          </cell>
          <cell r="E1370">
            <v>53.071887969970703</v>
          </cell>
          <cell r="F1370">
            <v>113.3716583251953</v>
          </cell>
        </row>
        <row r="1371">
          <cell r="A1371">
            <v>44139</v>
          </cell>
          <cell r="B1371">
            <v>248.56196594238281</v>
          </cell>
          <cell r="C1371">
            <v>41.015628814697273</v>
          </cell>
          <cell r="D1371">
            <v>285.81201171875</v>
          </cell>
          <cell r="E1371">
            <v>52.782238006591797</v>
          </cell>
          <cell r="F1371">
            <v>116.5527648925781</v>
          </cell>
        </row>
        <row r="1372">
          <cell r="A1372">
            <v>44140</v>
          </cell>
          <cell r="B1372">
            <v>257.95965576171881</v>
          </cell>
          <cell r="C1372">
            <v>41.295871734619141</v>
          </cell>
          <cell r="D1372">
            <v>293.07217407226563</v>
          </cell>
          <cell r="E1372">
            <v>52.941082000732422</v>
          </cell>
          <cell r="F1372">
            <v>131.4099426269531</v>
          </cell>
        </row>
        <row r="1373">
          <cell r="A1373">
            <v>44141</v>
          </cell>
          <cell r="B1373">
            <v>257.89019775390619</v>
          </cell>
          <cell r="C1373">
            <v>41.033714294433587</v>
          </cell>
          <cell r="D1373">
            <v>291.80911254882813</v>
          </cell>
          <cell r="E1373">
            <v>53.071887969970703</v>
          </cell>
          <cell r="F1373">
            <v>131.04844665527341</v>
          </cell>
        </row>
        <row r="1374">
          <cell r="A1374">
            <v>44144</v>
          </cell>
          <cell r="B1374">
            <v>257.02777099609381</v>
          </cell>
          <cell r="C1374">
            <v>41.223545074462891</v>
          </cell>
          <cell r="D1374">
            <v>277.24899291992188</v>
          </cell>
          <cell r="E1374">
            <v>53.109264373779297</v>
          </cell>
          <cell r="F1374">
            <v>128.8795166015625</v>
          </cell>
        </row>
        <row r="1375">
          <cell r="A1375">
            <v>44145</v>
          </cell>
          <cell r="B1375">
            <v>245.50872802734381</v>
          </cell>
          <cell r="C1375">
            <v>41.078907012939453</v>
          </cell>
          <cell r="D1375">
            <v>270.943603515625</v>
          </cell>
          <cell r="E1375">
            <v>52.950420379638672</v>
          </cell>
          <cell r="F1375">
            <v>126.6201934814453</v>
          </cell>
        </row>
        <row r="1376">
          <cell r="A1376">
            <v>44146</v>
          </cell>
          <cell r="B1376">
            <v>251.9720764160156</v>
          </cell>
          <cell r="C1376">
            <v>41.901569366455078</v>
          </cell>
          <cell r="D1376">
            <v>274.97149658203119</v>
          </cell>
          <cell r="E1376">
            <v>53.445636749267578</v>
          </cell>
          <cell r="F1376">
            <v>133.47038269042969</v>
          </cell>
        </row>
        <row r="1377">
          <cell r="A1377">
            <v>44147</v>
          </cell>
          <cell r="B1377">
            <v>247.2534484863281</v>
          </cell>
          <cell r="C1377">
            <v>40.635936737060547</v>
          </cell>
          <cell r="D1377">
            <v>273.5791015625</v>
          </cell>
          <cell r="E1377">
            <v>52.744865417480469</v>
          </cell>
          <cell r="F1377">
            <v>130.0543212890625</v>
          </cell>
        </row>
        <row r="1378">
          <cell r="A1378">
            <v>44148</v>
          </cell>
          <cell r="B1378">
            <v>247.34263610839841</v>
          </cell>
          <cell r="C1378">
            <v>41.09698486328125</v>
          </cell>
          <cell r="D1378">
            <v>275.43893432617188</v>
          </cell>
          <cell r="E1378">
            <v>53.174671173095703</v>
          </cell>
          <cell r="F1378">
            <v>130.37065124511719</v>
          </cell>
        </row>
        <row r="1379">
          <cell r="A1379">
            <v>44151</v>
          </cell>
          <cell r="B1379">
            <v>247.71934509277341</v>
          </cell>
          <cell r="C1379">
            <v>41.756923675537109</v>
          </cell>
          <cell r="D1379">
            <v>277.43795776367188</v>
          </cell>
          <cell r="E1379">
            <v>53.398914337158203</v>
          </cell>
          <cell r="F1379">
            <v>134.717529296875</v>
          </cell>
        </row>
        <row r="1380">
          <cell r="A1380">
            <v>44152</v>
          </cell>
          <cell r="B1380">
            <v>253.9447937011719</v>
          </cell>
          <cell r="C1380">
            <v>41.160270690917969</v>
          </cell>
          <cell r="D1380">
            <v>273.49957275390619</v>
          </cell>
          <cell r="E1380">
            <v>53.370887756347663</v>
          </cell>
          <cell r="F1380">
            <v>134.41929626464841</v>
          </cell>
        </row>
        <row r="1381">
          <cell r="A1381">
            <v>44153</v>
          </cell>
          <cell r="B1381">
            <v>254.92622375488281</v>
          </cell>
          <cell r="C1381">
            <v>40.735389709472663</v>
          </cell>
          <cell r="D1381">
            <v>270.486083984375</v>
          </cell>
          <cell r="E1381">
            <v>52.557991027832031</v>
          </cell>
          <cell r="F1381">
            <v>132.89204406738281</v>
          </cell>
        </row>
        <row r="1382">
          <cell r="A1382">
            <v>44154</v>
          </cell>
          <cell r="B1382">
            <v>262.35116577148438</v>
          </cell>
          <cell r="C1382">
            <v>41.241634368896477</v>
          </cell>
          <cell r="D1382">
            <v>271.45083618164063</v>
          </cell>
          <cell r="E1382">
            <v>52.744865417480469</v>
          </cell>
          <cell r="F1382">
            <v>133.3258056640625</v>
          </cell>
        </row>
        <row r="1383">
          <cell r="A1383">
            <v>44155</v>
          </cell>
          <cell r="B1383">
            <v>255.79856872558591</v>
          </cell>
          <cell r="C1383">
            <v>41.033714294433587</v>
          </cell>
          <cell r="D1383">
            <v>268.22848510742188</v>
          </cell>
          <cell r="E1383">
            <v>52.044090270996087</v>
          </cell>
          <cell r="F1383">
            <v>131.9702453613281</v>
          </cell>
        </row>
        <row r="1384">
          <cell r="A1384">
            <v>44158</v>
          </cell>
          <cell r="B1384">
            <v>255.40203857421881</v>
          </cell>
          <cell r="C1384">
            <v>41.639408111572273</v>
          </cell>
          <cell r="D1384">
            <v>266.96533203125</v>
          </cell>
          <cell r="E1384">
            <v>52.399143218994141</v>
          </cell>
          <cell r="F1384">
            <v>129.9730224609375</v>
          </cell>
        </row>
        <row r="1385">
          <cell r="A1385">
            <v>44159</v>
          </cell>
          <cell r="B1385">
            <v>258.57421875</v>
          </cell>
          <cell r="C1385">
            <v>42.498226165771477</v>
          </cell>
          <cell r="D1385">
            <v>275.40908813476563</v>
          </cell>
          <cell r="E1385">
            <v>53.791355133056641</v>
          </cell>
          <cell r="F1385">
            <v>131.87986755371091</v>
          </cell>
        </row>
        <row r="1386">
          <cell r="A1386">
            <v>44160</v>
          </cell>
          <cell r="B1386">
            <v>244.67604064941409</v>
          </cell>
          <cell r="C1386">
            <v>42.534389495849609</v>
          </cell>
          <cell r="D1386">
            <v>274.08633422851563</v>
          </cell>
          <cell r="E1386">
            <v>53.641849517822273</v>
          </cell>
          <cell r="F1386">
            <v>130.2079772949219</v>
          </cell>
        </row>
        <row r="1387">
          <cell r="A1387">
            <v>44162</v>
          </cell>
          <cell r="B1387">
            <v>245.47898864746091</v>
          </cell>
          <cell r="C1387">
            <v>42.895999908447273</v>
          </cell>
          <cell r="D1387">
            <v>276.294189453125</v>
          </cell>
          <cell r="E1387">
            <v>53.968879699707031</v>
          </cell>
          <cell r="F1387">
            <v>129.98204040527341</v>
          </cell>
        </row>
        <row r="1388">
          <cell r="A1388">
            <v>44165</v>
          </cell>
          <cell r="B1388">
            <v>243.66487121582031</v>
          </cell>
          <cell r="C1388">
            <v>43.709621429443359</v>
          </cell>
          <cell r="D1388">
            <v>275.45880126953119</v>
          </cell>
          <cell r="E1388">
            <v>53.931510925292969</v>
          </cell>
          <cell r="F1388">
            <v>133.00044250488281</v>
          </cell>
        </row>
        <row r="1389">
          <cell r="A1389">
            <v>44166</v>
          </cell>
          <cell r="B1389">
            <v>239.25355529785159</v>
          </cell>
          <cell r="C1389">
            <v>44.803493499755859</v>
          </cell>
          <cell r="D1389">
            <v>284.98654174804688</v>
          </cell>
          <cell r="E1389">
            <v>54.884563446044922</v>
          </cell>
          <cell r="F1389">
            <v>136.6966857910156</v>
          </cell>
        </row>
        <row r="1390">
          <cell r="A1390">
            <v>44167</v>
          </cell>
          <cell r="B1390">
            <v>218.8622131347656</v>
          </cell>
          <cell r="C1390">
            <v>45.110862731933587</v>
          </cell>
          <cell r="D1390">
            <v>285.95123291015619</v>
          </cell>
          <cell r="E1390">
            <v>55.202247619628913</v>
          </cell>
          <cell r="F1390">
            <v>136.1249084472656</v>
          </cell>
        </row>
        <row r="1391">
          <cell r="A1391">
            <v>44168</v>
          </cell>
          <cell r="B1391">
            <v>219.05055236816409</v>
          </cell>
          <cell r="C1391">
            <v>46.096260070800781</v>
          </cell>
          <cell r="D1391">
            <v>280.31219482421881</v>
          </cell>
          <cell r="E1391">
            <v>55.379772186279297</v>
          </cell>
          <cell r="F1391">
            <v>136.0613708496094</v>
          </cell>
        </row>
        <row r="1392">
          <cell r="A1392">
            <v>44169</v>
          </cell>
          <cell r="B1392">
            <v>223.8980712890625</v>
          </cell>
          <cell r="C1392">
            <v>47.000282287597663</v>
          </cell>
          <cell r="D1392">
            <v>278.17388916015619</v>
          </cell>
          <cell r="E1392">
            <v>56.024482727050781</v>
          </cell>
          <cell r="F1392">
            <v>143.05906677246091</v>
          </cell>
        </row>
        <row r="1393">
          <cell r="A1393">
            <v>44172</v>
          </cell>
          <cell r="B1393">
            <v>225.72210693359381</v>
          </cell>
          <cell r="C1393">
            <v>45.382076263427727</v>
          </cell>
          <cell r="D1393">
            <v>284.02182006835938</v>
          </cell>
          <cell r="E1393">
            <v>55.874984741210938</v>
          </cell>
          <cell r="F1393">
            <v>143.42216491699219</v>
          </cell>
        </row>
        <row r="1394">
          <cell r="A1394">
            <v>44173</v>
          </cell>
          <cell r="B1394">
            <v>225.8807067871094</v>
          </cell>
          <cell r="C1394">
            <v>45.825042724609382</v>
          </cell>
          <cell r="D1394">
            <v>281.85372924804688</v>
          </cell>
          <cell r="E1394">
            <v>55.155521392822273</v>
          </cell>
          <cell r="F1394">
            <v>144.1300964355469</v>
          </cell>
        </row>
        <row r="1395">
          <cell r="A1395">
            <v>44174</v>
          </cell>
          <cell r="B1395">
            <v>218.65403747558591</v>
          </cell>
          <cell r="C1395">
            <v>45.264545440673828</v>
          </cell>
          <cell r="D1395">
            <v>276.40362548828119</v>
          </cell>
          <cell r="E1395">
            <v>55.809581756591797</v>
          </cell>
          <cell r="F1395">
            <v>141.60693359375</v>
          </cell>
        </row>
        <row r="1396">
          <cell r="A1396">
            <v>44175</v>
          </cell>
          <cell r="B1396">
            <v>220.9836120605469</v>
          </cell>
          <cell r="C1396">
            <v>45.436317443847663</v>
          </cell>
          <cell r="D1396">
            <v>275.60797119140619</v>
          </cell>
          <cell r="E1396">
            <v>55.57598876953125</v>
          </cell>
          <cell r="F1396">
            <v>141.36189270019531</v>
          </cell>
        </row>
        <row r="1397">
          <cell r="A1397">
            <v>44176</v>
          </cell>
          <cell r="B1397">
            <v>220.4879455566406</v>
          </cell>
          <cell r="C1397">
            <v>44.957172393798828</v>
          </cell>
          <cell r="D1397">
            <v>272.05743408203119</v>
          </cell>
          <cell r="E1397">
            <v>56.631832122802727</v>
          </cell>
          <cell r="F1397">
            <v>130.95146179199219</v>
          </cell>
        </row>
        <row r="1398">
          <cell r="A1398">
            <v>44179</v>
          </cell>
          <cell r="B1398">
            <v>219.34796142578119</v>
          </cell>
          <cell r="C1398">
            <v>45.62615966796875</v>
          </cell>
          <cell r="D1398">
            <v>272.69400024414063</v>
          </cell>
          <cell r="E1398">
            <v>56.771976470947273</v>
          </cell>
          <cell r="F1398">
            <v>132.7757568359375</v>
          </cell>
        </row>
        <row r="1399">
          <cell r="A1399">
            <v>44180</v>
          </cell>
          <cell r="B1399">
            <v>218.2376708984375</v>
          </cell>
          <cell r="C1399">
            <v>45.806961059570313</v>
          </cell>
          <cell r="D1399">
            <v>274.04656982421881</v>
          </cell>
          <cell r="E1399">
            <v>57.799777984619141</v>
          </cell>
          <cell r="F1399">
            <v>134.6545715332031</v>
          </cell>
        </row>
        <row r="1400">
          <cell r="A1400">
            <v>44181</v>
          </cell>
          <cell r="B1400">
            <v>221.6775207519531</v>
          </cell>
          <cell r="C1400">
            <v>46.213771820068359</v>
          </cell>
          <cell r="D1400">
            <v>274.16595458984381</v>
          </cell>
          <cell r="E1400">
            <v>58.659389495849609</v>
          </cell>
          <cell r="F1400">
            <v>135.9070739746094</v>
          </cell>
        </row>
        <row r="1401">
          <cell r="A1401">
            <v>44182</v>
          </cell>
          <cell r="B1401">
            <v>223.9575500488281</v>
          </cell>
          <cell r="C1401">
            <v>45.788883209228523</v>
          </cell>
          <cell r="D1401">
            <v>272.982421875</v>
          </cell>
          <cell r="E1401">
            <v>59.434913635253913</v>
          </cell>
          <cell r="F1401">
            <v>135.7164611816406</v>
          </cell>
        </row>
        <row r="1402">
          <cell r="A1402">
            <v>44183</v>
          </cell>
          <cell r="B1402">
            <v>225.45442199707031</v>
          </cell>
          <cell r="C1402">
            <v>42.905044555664063</v>
          </cell>
          <cell r="D1402">
            <v>274.89190673828119</v>
          </cell>
          <cell r="E1402">
            <v>60.789741516113281</v>
          </cell>
          <cell r="F1402">
            <v>133.80137634277341</v>
          </cell>
        </row>
        <row r="1403">
          <cell r="A1403">
            <v>44186</v>
          </cell>
          <cell r="B1403">
            <v>224.50279235839841</v>
          </cell>
          <cell r="C1403">
            <v>41.910621643066413</v>
          </cell>
          <cell r="D1403">
            <v>271.30166625976563</v>
          </cell>
          <cell r="E1403">
            <v>60.247817993164063</v>
          </cell>
          <cell r="F1403">
            <v>133.23866271972659</v>
          </cell>
        </row>
        <row r="1404">
          <cell r="A1404">
            <v>44187</v>
          </cell>
          <cell r="B1404">
            <v>229.1619567871094</v>
          </cell>
          <cell r="C1404">
            <v>41.738853454589837</v>
          </cell>
          <cell r="D1404">
            <v>265.6326904296875</v>
          </cell>
          <cell r="E1404">
            <v>60.873836517333977</v>
          </cell>
          <cell r="F1404">
            <v>132.8211364746094</v>
          </cell>
        </row>
        <row r="1405">
          <cell r="A1405">
            <v>44188</v>
          </cell>
          <cell r="B1405">
            <v>225.45442199707031</v>
          </cell>
          <cell r="C1405">
            <v>42.100452423095703</v>
          </cell>
          <cell r="D1405">
            <v>266.64712524414063</v>
          </cell>
          <cell r="E1405">
            <v>61.013992309570313</v>
          </cell>
          <cell r="F1405">
            <v>133.3839111328125</v>
          </cell>
        </row>
        <row r="1406">
          <cell r="A1406">
            <v>44189</v>
          </cell>
          <cell r="B1406">
            <v>223.81878662109381</v>
          </cell>
          <cell r="C1406">
            <v>42.552467346191413</v>
          </cell>
          <cell r="D1406">
            <v>265.9410400390625</v>
          </cell>
          <cell r="E1406">
            <v>60.696308135986328</v>
          </cell>
          <cell r="F1406">
            <v>135.04484558105469</v>
          </cell>
        </row>
        <row r="1407">
          <cell r="A1407">
            <v>44193</v>
          </cell>
          <cell r="B1407">
            <v>222.68867492675781</v>
          </cell>
          <cell r="C1407">
            <v>42.552467346191413</v>
          </cell>
          <cell r="D1407">
            <v>275.48861694335938</v>
          </cell>
          <cell r="E1407">
            <v>60.612213134765618</v>
          </cell>
          <cell r="F1407">
            <v>134.09178161621091</v>
          </cell>
        </row>
        <row r="1408">
          <cell r="A1408">
            <v>44194</v>
          </cell>
          <cell r="B1408">
            <v>220.5276184082031</v>
          </cell>
          <cell r="C1408">
            <v>44.649810791015618</v>
          </cell>
          <cell r="D1408">
            <v>275.26980590820313</v>
          </cell>
          <cell r="E1408">
            <v>60.229122161865227</v>
          </cell>
          <cell r="F1408">
            <v>134.7725524902344</v>
          </cell>
        </row>
        <row r="1409">
          <cell r="A1409">
            <v>44195</v>
          </cell>
          <cell r="B1409">
            <v>220.46812438964841</v>
          </cell>
          <cell r="C1409">
            <v>44.07122802734375</v>
          </cell>
          <cell r="D1409">
            <v>270.38662719726563</v>
          </cell>
          <cell r="E1409">
            <v>60.173061370849609</v>
          </cell>
          <cell r="F1409">
            <v>136.09767150878909</v>
          </cell>
        </row>
        <row r="1410">
          <cell r="A1410">
            <v>44196</v>
          </cell>
          <cell r="B1410">
            <v>220.5970153808594</v>
          </cell>
          <cell r="C1410">
            <v>45.038539886474609</v>
          </cell>
          <cell r="D1410">
            <v>271.66958618164063</v>
          </cell>
          <cell r="E1410">
            <v>60.44403076171875</v>
          </cell>
          <cell r="F1410">
            <v>138.2668762207031</v>
          </cell>
        </row>
        <row r="1411">
          <cell r="A1411">
            <v>44200</v>
          </cell>
          <cell r="B1411">
            <v>218.39628601074219</v>
          </cell>
          <cell r="C1411">
            <v>44.902938842773438</v>
          </cell>
          <cell r="D1411">
            <v>267.47262573242188</v>
          </cell>
          <cell r="E1411">
            <v>59.565723419189453</v>
          </cell>
          <cell r="F1411">
            <v>134.78160095214841</v>
          </cell>
        </row>
        <row r="1412">
          <cell r="A1412">
            <v>44201</v>
          </cell>
          <cell r="B1412">
            <v>219.59577941894531</v>
          </cell>
          <cell r="C1412">
            <v>45.752719879150391</v>
          </cell>
          <cell r="D1412">
            <v>269.49151611328119</v>
          </cell>
          <cell r="E1412">
            <v>58.82757568359375</v>
          </cell>
          <cell r="F1412">
            <v>138.34855651855469</v>
          </cell>
        </row>
        <row r="1413">
          <cell r="A1413">
            <v>44202</v>
          </cell>
          <cell r="B1413">
            <v>214.27241516113281</v>
          </cell>
          <cell r="C1413">
            <v>46.195686340332031</v>
          </cell>
          <cell r="D1413">
            <v>261.873291015625</v>
          </cell>
          <cell r="E1413">
            <v>58.686882019042969</v>
          </cell>
          <cell r="F1413">
            <v>137.22314453125</v>
          </cell>
        </row>
        <row r="1414">
          <cell r="A1414">
            <v>44203</v>
          </cell>
          <cell r="B1414">
            <v>216.0865478515625</v>
          </cell>
          <cell r="C1414">
            <v>47.181083679199219</v>
          </cell>
          <cell r="D1414">
            <v>267.273681640625</v>
          </cell>
          <cell r="E1414">
            <v>59.155857086181641</v>
          </cell>
          <cell r="F1414">
            <v>141.31646728515619</v>
          </cell>
        </row>
        <row r="1415">
          <cell r="A1415">
            <v>44204</v>
          </cell>
          <cell r="B1415">
            <v>220.11125183105469</v>
          </cell>
          <cell r="C1415">
            <v>46.692905426025391</v>
          </cell>
          <cell r="D1415">
            <v>266.11007690429688</v>
          </cell>
          <cell r="E1415">
            <v>59.446628570556641</v>
          </cell>
          <cell r="F1415">
            <v>142.16961669921881</v>
          </cell>
        </row>
        <row r="1416">
          <cell r="A1416">
            <v>44207</v>
          </cell>
          <cell r="B1416">
            <v>216.35418701171881</v>
          </cell>
          <cell r="C1416">
            <v>46.593460083007813</v>
          </cell>
          <cell r="D1416">
            <v>255.43864440917969</v>
          </cell>
          <cell r="E1416">
            <v>59.118343353271477</v>
          </cell>
          <cell r="F1416">
            <v>141.6885681152344</v>
          </cell>
        </row>
        <row r="1417">
          <cell r="A1417">
            <v>44208</v>
          </cell>
          <cell r="B1417">
            <v>213.64790344238281</v>
          </cell>
          <cell r="C1417">
            <v>48.13031005859375</v>
          </cell>
          <cell r="D1417">
            <v>249.7200012207031</v>
          </cell>
          <cell r="E1417">
            <v>58.546180725097663</v>
          </cell>
          <cell r="F1417">
            <v>140.18193054199219</v>
          </cell>
        </row>
        <row r="1418">
          <cell r="A1418">
            <v>44209</v>
          </cell>
          <cell r="B1418">
            <v>216.28477478027341</v>
          </cell>
          <cell r="C1418">
            <v>51.484241485595703</v>
          </cell>
          <cell r="D1418">
            <v>250.26701354980469</v>
          </cell>
          <cell r="E1418">
            <v>58.208530426025391</v>
          </cell>
          <cell r="F1418">
            <v>142.87754821777341</v>
          </cell>
        </row>
        <row r="1419">
          <cell r="A1419">
            <v>44210</v>
          </cell>
          <cell r="B1419">
            <v>213.72721862792969</v>
          </cell>
          <cell r="C1419">
            <v>53.563499450683587</v>
          </cell>
          <cell r="D1419">
            <v>244.2997741699219</v>
          </cell>
          <cell r="E1419">
            <v>57.777088165283203</v>
          </cell>
          <cell r="F1419">
            <v>145.99073791503909</v>
          </cell>
        </row>
        <row r="1420">
          <cell r="A1420">
            <v>44211</v>
          </cell>
          <cell r="B1420">
            <v>211.28857421875</v>
          </cell>
          <cell r="C1420">
            <v>52.053779602050781</v>
          </cell>
          <cell r="D1420">
            <v>249.9885559082031</v>
          </cell>
          <cell r="E1420">
            <v>57.945907592773438</v>
          </cell>
          <cell r="F1420">
            <v>142.57806396484381</v>
          </cell>
        </row>
        <row r="1421">
          <cell r="A1421">
            <v>44215</v>
          </cell>
          <cell r="B1421">
            <v>214.87712097167969</v>
          </cell>
          <cell r="C1421">
            <v>52.424427032470703</v>
          </cell>
          <cell r="D1421">
            <v>259.67544555664063</v>
          </cell>
          <cell r="E1421">
            <v>57.486331939697273</v>
          </cell>
          <cell r="F1421">
            <v>148.64097595214841</v>
          </cell>
        </row>
        <row r="1422">
          <cell r="A1422">
            <v>44216</v>
          </cell>
          <cell r="B1422">
            <v>221.4991149902344</v>
          </cell>
          <cell r="C1422">
            <v>53.039161682128913</v>
          </cell>
          <cell r="D1422">
            <v>266.02059936523438</v>
          </cell>
          <cell r="E1422">
            <v>57.739578247070313</v>
          </cell>
          <cell r="F1422">
            <v>149.39430236816409</v>
          </cell>
        </row>
        <row r="1423">
          <cell r="A1423">
            <v>44217</v>
          </cell>
          <cell r="B1423">
            <v>220.2401123046875</v>
          </cell>
          <cell r="C1423">
            <v>56.465423583984382</v>
          </cell>
          <cell r="D1423">
            <v>271.38113403320313</v>
          </cell>
          <cell r="E1423">
            <v>57.411289215087891</v>
          </cell>
          <cell r="F1423">
            <v>149.53044128417969</v>
          </cell>
        </row>
        <row r="1424">
          <cell r="A1424">
            <v>44218</v>
          </cell>
          <cell r="B1424">
            <v>223.80888366699219</v>
          </cell>
          <cell r="C1424">
            <v>51.222072601318359</v>
          </cell>
          <cell r="D1424">
            <v>273.00225830078119</v>
          </cell>
          <cell r="E1424">
            <v>56.614051818847663</v>
          </cell>
          <cell r="F1424">
            <v>147.41569519042969</v>
          </cell>
        </row>
        <row r="1425">
          <cell r="A1425">
            <v>44221</v>
          </cell>
          <cell r="B1425">
            <v>223.9575500488281</v>
          </cell>
          <cell r="C1425">
            <v>50.119159698486328</v>
          </cell>
          <cell r="D1425">
            <v>276.49319458007813</v>
          </cell>
          <cell r="E1425">
            <v>57.120529174804688</v>
          </cell>
          <cell r="F1425">
            <v>149.2127380371094</v>
          </cell>
        </row>
        <row r="1426">
          <cell r="A1426">
            <v>44222</v>
          </cell>
          <cell r="B1426">
            <v>224.29460144042969</v>
          </cell>
          <cell r="C1426">
            <v>49.911235809326172</v>
          </cell>
          <cell r="D1426">
            <v>280.51107788085938</v>
          </cell>
          <cell r="E1426">
            <v>57.964672088623047</v>
          </cell>
          <cell r="F1426">
            <v>147.5336608886719</v>
          </cell>
        </row>
        <row r="1427">
          <cell r="A1427">
            <v>44223</v>
          </cell>
          <cell r="B1427">
            <v>222.82746887207031</v>
          </cell>
          <cell r="C1427">
            <v>48.44671630859375</v>
          </cell>
          <cell r="D1427">
            <v>270.65518188476563</v>
          </cell>
          <cell r="E1427">
            <v>58.668121337890618</v>
          </cell>
          <cell r="F1427">
            <v>139.47401428222659</v>
          </cell>
        </row>
        <row r="1428">
          <cell r="A1428">
            <v>44224</v>
          </cell>
          <cell r="B1428">
            <v>224.5325012207031</v>
          </cell>
          <cell r="C1428">
            <v>50.688697814941413</v>
          </cell>
          <cell r="D1428">
            <v>263.55410766601563</v>
          </cell>
          <cell r="E1428">
            <v>57.420665740966797</v>
          </cell>
          <cell r="F1428">
            <v>141.18034362792969</v>
          </cell>
        </row>
        <row r="1429">
          <cell r="A1429">
            <v>44225</v>
          </cell>
          <cell r="B1429">
            <v>223.60069274902341</v>
          </cell>
          <cell r="C1429">
            <v>50.182449340820313</v>
          </cell>
          <cell r="D1429">
            <v>256.92050170898438</v>
          </cell>
          <cell r="E1429">
            <v>56.679695129394531</v>
          </cell>
          <cell r="F1429">
            <v>141.8428649902344</v>
          </cell>
        </row>
        <row r="1430">
          <cell r="A1430">
            <v>44228</v>
          </cell>
          <cell r="B1430">
            <v>226.4754943847656</v>
          </cell>
          <cell r="C1430">
            <v>51.249191284179688</v>
          </cell>
          <cell r="D1430">
            <v>260.58041381835938</v>
          </cell>
          <cell r="E1430">
            <v>57.692676544189453</v>
          </cell>
          <cell r="F1430">
            <v>146.6532897949219</v>
          </cell>
        </row>
        <row r="1431">
          <cell r="A1431">
            <v>44229</v>
          </cell>
          <cell r="B1431">
            <v>232.16563415527341</v>
          </cell>
          <cell r="C1431">
            <v>52.433467864990227</v>
          </cell>
          <cell r="D1431">
            <v>265.62274169921881</v>
          </cell>
          <cell r="E1431">
            <v>58.499294281005859</v>
          </cell>
          <cell r="F1431">
            <v>149.55763244628909</v>
          </cell>
        </row>
        <row r="1432">
          <cell r="A1432">
            <v>44230</v>
          </cell>
          <cell r="B1432">
            <v>232.7802734375</v>
          </cell>
          <cell r="C1432">
            <v>52.144176483154297</v>
          </cell>
          <cell r="D1432">
            <v>265.19509887695313</v>
          </cell>
          <cell r="E1432">
            <v>58.31170654296875</v>
          </cell>
          <cell r="F1432">
            <v>147.30674743652341</v>
          </cell>
        </row>
        <row r="1433">
          <cell r="A1433">
            <v>44231</v>
          </cell>
          <cell r="B1433">
            <v>235.91279602050781</v>
          </cell>
          <cell r="C1433">
            <v>53.470245361328118</v>
          </cell>
          <cell r="D1433">
            <v>265.03598022460938</v>
          </cell>
          <cell r="E1433">
            <v>59.418479919433587</v>
          </cell>
          <cell r="F1433">
            <v>134.3005676269531</v>
          </cell>
        </row>
        <row r="1434">
          <cell r="A1434">
            <v>44232</v>
          </cell>
          <cell r="B1434">
            <v>236.81489562988281</v>
          </cell>
          <cell r="C1434">
            <v>52.915447235107422</v>
          </cell>
          <cell r="D1434">
            <v>266.63723754882813</v>
          </cell>
          <cell r="E1434">
            <v>59.652965545654297</v>
          </cell>
          <cell r="F1434">
            <v>132.36735534667969</v>
          </cell>
        </row>
        <row r="1435">
          <cell r="A1435">
            <v>44235</v>
          </cell>
          <cell r="B1435">
            <v>236.85453796386719</v>
          </cell>
          <cell r="C1435">
            <v>53.806758880615227</v>
          </cell>
          <cell r="D1435">
            <v>265.12545776367188</v>
          </cell>
          <cell r="E1435">
            <v>59.193378448486328</v>
          </cell>
          <cell r="F1435">
            <v>133.76506042480469</v>
          </cell>
        </row>
        <row r="1436">
          <cell r="A1436">
            <v>44236</v>
          </cell>
          <cell r="B1436">
            <v>234.6439208984375</v>
          </cell>
          <cell r="C1436">
            <v>53.461158752441413</v>
          </cell>
          <cell r="D1436">
            <v>267.97988891601563</v>
          </cell>
          <cell r="E1436">
            <v>59.718616485595703</v>
          </cell>
          <cell r="F1436">
            <v>132.61241149902341</v>
          </cell>
        </row>
        <row r="1437">
          <cell r="A1437">
            <v>44237</v>
          </cell>
          <cell r="B1437">
            <v>234.66374206542969</v>
          </cell>
          <cell r="C1437">
            <v>53.533908843994141</v>
          </cell>
          <cell r="D1437">
            <v>270.38662719726563</v>
          </cell>
          <cell r="E1437">
            <v>59.34344482421875</v>
          </cell>
          <cell r="F1437">
            <v>132.0587463378906</v>
          </cell>
        </row>
        <row r="1438">
          <cell r="A1438">
            <v>44238</v>
          </cell>
          <cell r="B1438">
            <v>239.1445007324219</v>
          </cell>
          <cell r="C1438">
            <v>55.171039581298828</v>
          </cell>
          <cell r="D1438">
            <v>268.91470336914063</v>
          </cell>
          <cell r="E1438">
            <v>58.808822631835938</v>
          </cell>
          <cell r="F1438">
            <v>132.11322021484381</v>
          </cell>
        </row>
        <row r="1439">
          <cell r="A1439">
            <v>44239</v>
          </cell>
          <cell r="B1439">
            <v>238.28202819824219</v>
          </cell>
          <cell r="C1439">
            <v>56.21697998046875</v>
          </cell>
          <cell r="D1439">
            <v>269.02410888671881</v>
          </cell>
          <cell r="E1439">
            <v>59.165233612060547</v>
          </cell>
          <cell r="F1439">
            <v>134.30967712402341</v>
          </cell>
        </row>
        <row r="1440">
          <cell r="A1440">
            <v>44243</v>
          </cell>
          <cell r="B1440">
            <v>246.4306335449219</v>
          </cell>
          <cell r="C1440">
            <v>56.817256927490227</v>
          </cell>
          <cell r="D1440">
            <v>272.47515869140619</v>
          </cell>
          <cell r="E1440">
            <v>58.283580780029297</v>
          </cell>
          <cell r="F1440">
            <v>133.56541442871091</v>
          </cell>
        </row>
        <row r="1441">
          <cell r="A1441">
            <v>44244</v>
          </cell>
          <cell r="B1441">
            <v>245.50872802734381</v>
          </cell>
          <cell r="C1441">
            <v>56.25335693359375</v>
          </cell>
          <cell r="D1441">
            <v>272.07736206054688</v>
          </cell>
          <cell r="E1441">
            <v>58.236675262451172</v>
          </cell>
          <cell r="F1441">
            <v>131.37806701660159</v>
          </cell>
        </row>
        <row r="1442">
          <cell r="A1442">
            <v>44245</v>
          </cell>
          <cell r="B1442">
            <v>244.86436462402341</v>
          </cell>
          <cell r="C1442">
            <v>56.035072326660163</v>
          </cell>
          <cell r="D1442">
            <v>267.92019653320313</v>
          </cell>
          <cell r="E1442">
            <v>58.217910766601563</v>
          </cell>
          <cell r="F1442">
            <v>130.61561584472659</v>
          </cell>
        </row>
        <row r="1443">
          <cell r="A1443">
            <v>44246</v>
          </cell>
          <cell r="B1443">
            <v>244.41825866699219</v>
          </cell>
          <cell r="C1443">
            <v>57.308395385742188</v>
          </cell>
          <cell r="D1443">
            <v>260.13287353515619</v>
          </cell>
          <cell r="E1443">
            <v>57.336250305175781</v>
          </cell>
          <cell r="F1443">
            <v>131.55047607421881</v>
          </cell>
        </row>
        <row r="1444">
          <cell r="A1444">
            <v>44249</v>
          </cell>
          <cell r="B1444">
            <v>238.85700988769531</v>
          </cell>
          <cell r="C1444">
            <v>55.216518402099609</v>
          </cell>
          <cell r="D1444">
            <v>258.90957641601563</v>
          </cell>
          <cell r="E1444">
            <v>60.450214385986328</v>
          </cell>
          <cell r="F1444">
            <v>126.5767288208008</v>
          </cell>
        </row>
        <row r="1445">
          <cell r="A1445">
            <v>44250</v>
          </cell>
          <cell r="B1445">
            <v>233.59312438964841</v>
          </cell>
          <cell r="C1445">
            <v>55.58941650390625</v>
          </cell>
          <cell r="D1445">
            <v>264.409423828125</v>
          </cell>
          <cell r="E1445">
            <v>60.497108459472663</v>
          </cell>
          <cell r="F1445">
            <v>124.452880859375</v>
          </cell>
        </row>
        <row r="1446">
          <cell r="A1446">
            <v>44251</v>
          </cell>
          <cell r="B1446">
            <v>238.38116455078119</v>
          </cell>
          <cell r="C1446">
            <v>57.47210693359375</v>
          </cell>
          <cell r="D1446">
            <v>262.86788940429688</v>
          </cell>
          <cell r="E1446">
            <v>60.684696197509773</v>
          </cell>
          <cell r="F1446">
            <v>128.06523132324219</v>
          </cell>
        </row>
        <row r="1447">
          <cell r="A1447">
            <v>44252</v>
          </cell>
          <cell r="B1447">
            <v>229.07275390625</v>
          </cell>
          <cell r="C1447">
            <v>54.934566497802727</v>
          </cell>
          <cell r="D1447">
            <v>253.30036926269531</v>
          </cell>
          <cell r="E1447">
            <v>61.247463226318359</v>
          </cell>
          <cell r="F1447">
            <v>123.00978088378911</v>
          </cell>
        </row>
        <row r="1448">
          <cell r="A1448">
            <v>44253</v>
          </cell>
          <cell r="B1448">
            <v>214.61936950683591</v>
          </cell>
          <cell r="C1448">
            <v>55.280174255371087</v>
          </cell>
          <cell r="D1448">
            <v>256.21435546875</v>
          </cell>
          <cell r="E1448">
            <v>60.506484985351563</v>
          </cell>
          <cell r="F1448">
            <v>123.6088104248047</v>
          </cell>
        </row>
        <row r="1449">
          <cell r="A1449">
            <v>44256</v>
          </cell>
          <cell r="B1449">
            <v>215.65034484863281</v>
          </cell>
          <cell r="C1449">
            <v>57.190155029296882</v>
          </cell>
          <cell r="D1449">
            <v>263.464599609375</v>
          </cell>
          <cell r="E1449">
            <v>62.063468933105469</v>
          </cell>
          <cell r="F1449">
            <v>126.60398101806641</v>
          </cell>
        </row>
        <row r="1450">
          <cell r="A1450">
            <v>44257</v>
          </cell>
          <cell r="B1450">
            <v>211.6156921386719</v>
          </cell>
          <cell r="C1450">
            <v>55.698554992675781</v>
          </cell>
          <cell r="D1450">
            <v>257.58688354492188</v>
          </cell>
          <cell r="E1450">
            <v>62.523056030273438</v>
          </cell>
          <cell r="F1450">
            <v>124.38026428222661</v>
          </cell>
        </row>
        <row r="1451">
          <cell r="A1451">
            <v>44258</v>
          </cell>
          <cell r="B1451">
            <v>204.2106018066406</v>
          </cell>
          <cell r="C1451">
            <v>54.479804992675781</v>
          </cell>
          <cell r="D1451">
            <v>254.0164794921875</v>
          </cell>
          <cell r="E1451">
            <v>62.757541656494141</v>
          </cell>
          <cell r="F1451">
            <v>120.06678771972661</v>
          </cell>
        </row>
        <row r="1452">
          <cell r="A1452">
            <v>44259</v>
          </cell>
          <cell r="B1452">
            <v>203.54643249511719</v>
          </cell>
          <cell r="C1452">
            <v>53.051876068115227</v>
          </cell>
          <cell r="D1452">
            <v>256.23434448242188</v>
          </cell>
          <cell r="E1452">
            <v>61.538223266601563</v>
          </cell>
          <cell r="F1452">
            <v>116.5466690063477</v>
          </cell>
        </row>
        <row r="1453">
          <cell r="A1453">
            <v>44260</v>
          </cell>
          <cell r="B1453">
            <v>208.92924499511719</v>
          </cell>
          <cell r="C1453">
            <v>55.243793487548828</v>
          </cell>
          <cell r="D1453">
            <v>262.83807373046881</v>
          </cell>
          <cell r="E1453">
            <v>65.627639770507813</v>
          </cell>
          <cell r="F1453">
            <v>118.324951171875</v>
          </cell>
        </row>
        <row r="1454">
          <cell r="A1454">
            <v>44263</v>
          </cell>
          <cell r="B1454">
            <v>205.9156494140625</v>
          </cell>
          <cell r="C1454">
            <v>54.434329986572273</v>
          </cell>
          <cell r="D1454">
            <v>253.9169921875</v>
          </cell>
          <cell r="E1454">
            <v>67.681739807128906</v>
          </cell>
          <cell r="F1454">
            <v>112.35169982910161</v>
          </cell>
        </row>
        <row r="1455">
          <cell r="A1455">
            <v>44264</v>
          </cell>
          <cell r="B1455">
            <v>209.69255065917969</v>
          </cell>
          <cell r="C1455">
            <v>56.999160766601563</v>
          </cell>
          <cell r="D1455">
            <v>264.29006958007813</v>
          </cell>
          <cell r="E1455">
            <v>68.131935119628906</v>
          </cell>
          <cell r="F1455">
            <v>117.741325378418</v>
          </cell>
        </row>
        <row r="1456">
          <cell r="A1456">
            <v>44265</v>
          </cell>
          <cell r="B1456">
            <v>210.11882019042969</v>
          </cell>
          <cell r="C1456">
            <v>56.617164611816413</v>
          </cell>
          <cell r="D1456">
            <v>263.45465087890619</v>
          </cell>
          <cell r="E1456">
            <v>67.644203186035156</v>
          </cell>
          <cell r="F1456">
            <v>116.6105117797852</v>
          </cell>
        </row>
        <row r="1457">
          <cell r="A1457">
            <v>44266</v>
          </cell>
          <cell r="B1457">
            <v>214.07414245605469</v>
          </cell>
          <cell r="C1457">
            <v>57.581249237060547</v>
          </cell>
          <cell r="D1457">
            <v>272.38568115234381</v>
          </cell>
          <cell r="E1457">
            <v>63.226512908935547</v>
          </cell>
          <cell r="F1457">
            <v>120.1397399902344</v>
          </cell>
        </row>
        <row r="1458">
          <cell r="A1458">
            <v>44267</v>
          </cell>
          <cell r="B1458">
            <v>210.36665344238281</v>
          </cell>
          <cell r="C1458">
            <v>57.208347320556641</v>
          </cell>
          <cell r="D1458">
            <v>266.93551635742188</v>
          </cell>
          <cell r="E1458">
            <v>62.992031097412109</v>
          </cell>
          <cell r="F1458">
            <v>118.5347061157227</v>
          </cell>
        </row>
        <row r="1459">
          <cell r="A1459">
            <v>44270</v>
          </cell>
          <cell r="B1459">
            <v>210.95152282714841</v>
          </cell>
          <cell r="C1459">
            <v>58.017818450927727</v>
          </cell>
          <cell r="D1459">
            <v>272.25637817382813</v>
          </cell>
          <cell r="E1459">
            <v>63.52667236328125</v>
          </cell>
          <cell r="F1459">
            <v>120.0485458374023</v>
          </cell>
        </row>
        <row r="1460">
          <cell r="A1460">
            <v>44271</v>
          </cell>
          <cell r="B1460">
            <v>212.616943359375</v>
          </cell>
          <cell r="C1460">
            <v>58.918224334716797</v>
          </cell>
          <cell r="D1460">
            <v>277.75619506835938</v>
          </cell>
          <cell r="E1460">
            <v>62.701271057128913</v>
          </cell>
          <cell r="F1460">
            <v>121.8815383911133</v>
          </cell>
        </row>
        <row r="1461">
          <cell r="A1461">
            <v>44272</v>
          </cell>
          <cell r="B1461">
            <v>211.26875305175781</v>
          </cell>
          <cell r="C1461">
            <v>59.827735900878913</v>
          </cell>
          <cell r="D1461">
            <v>282.46041870117188</v>
          </cell>
          <cell r="E1461">
            <v>62.110374450683587</v>
          </cell>
          <cell r="F1461">
            <v>122.12778472900391</v>
          </cell>
        </row>
        <row r="1462">
          <cell r="A1462">
            <v>44273</v>
          </cell>
          <cell r="B1462">
            <v>207.66035461425781</v>
          </cell>
          <cell r="C1462">
            <v>57.963237762451172</v>
          </cell>
          <cell r="D1462">
            <v>277.09982299804688</v>
          </cell>
          <cell r="E1462">
            <v>62.598091125488281</v>
          </cell>
          <cell r="F1462">
            <v>118.324951171875</v>
          </cell>
        </row>
        <row r="1463">
          <cell r="A1463">
            <v>44274</v>
          </cell>
          <cell r="B1463">
            <v>210.35673522949219</v>
          </cell>
          <cell r="C1463">
            <v>57.990524291992188</v>
          </cell>
          <cell r="D1463">
            <v>288.527099609375</v>
          </cell>
          <cell r="E1463">
            <v>62.147884368896477</v>
          </cell>
          <cell r="F1463">
            <v>119.4831466674805</v>
          </cell>
        </row>
        <row r="1464">
          <cell r="A1464">
            <v>44277</v>
          </cell>
          <cell r="B1464">
            <v>213.30094909667969</v>
          </cell>
          <cell r="C1464">
            <v>59.691318511962891</v>
          </cell>
          <cell r="D1464">
            <v>291.93841552734381</v>
          </cell>
          <cell r="E1464">
            <v>62.20416259765625</v>
          </cell>
          <cell r="F1464">
            <v>122.2827987670898</v>
          </cell>
        </row>
        <row r="1465">
          <cell r="A1465">
            <v>44278</v>
          </cell>
          <cell r="B1465">
            <v>213.13240051269531</v>
          </cell>
          <cell r="C1465">
            <v>57.735858917236328</v>
          </cell>
          <cell r="D1465">
            <v>289.04428100585938</v>
          </cell>
          <cell r="E1465">
            <v>63.095211029052727</v>
          </cell>
          <cell r="F1465">
            <v>120.8510665893555</v>
          </cell>
        </row>
        <row r="1466">
          <cell r="A1466">
            <v>44279</v>
          </cell>
          <cell r="B1466">
            <v>207.70991516113281</v>
          </cell>
          <cell r="C1466">
            <v>56.426166534423828</v>
          </cell>
          <cell r="D1466">
            <v>280.60061645507813</v>
          </cell>
          <cell r="E1466">
            <v>62.682518005371087</v>
          </cell>
          <cell r="F1466">
            <v>115.98126220703119</v>
          </cell>
        </row>
        <row r="1467">
          <cell r="A1467">
            <v>44280</v>
          </cell>
          <cell r="B1467">
            <v>203.65545654296881</v>
          </cell>
          <cell r="C1467">
            <v>56.407981872558587</v>
          </cell>
          <cell r="D1467">
            <v>277.21914672851563</v>
          </cell>
          <cell r="E1467">
            <v>64.370803833007813</v>
          </cell>
          <cell r="F1467">
            <v>116.07244873046881</v>
          </cell>
        </row>
        <row r="1468">
          <cell r="A1468">
            <v>44281</v>
          </cell>
          <cell r="B1468">
            <v>207.27374267578119</v>
          </cell>
          <cell r="C1468">
            <v>59.000095367431641</v>
          </cell>
          <cell r="D1468">
            <v>281.47579956054688</v>
          </cell>
          <cell r="E1468">
            <v>65.8902587890625</v>
          </cell>
          <cell r="F1468">
            <v>121.2796936035156</v>
          </cell>
        </row>
        <row r="1469">
          <cell r="A1469">
            <v>44284</v>
          </cell>
          <cell r="B1469">
            <v>208.93916320800781</v>
          </cell>
          <cell r="C1469">
            <v>58.663562774658203</v>
          </cell>
          <cell r="D1469">
            <v>289.23324584960938</v>
          </cell>
          <cell r="E1469">
            <v>66.715652465820313</v>
          </cell>
          <cell r="F1469">
            <v>119.7111129760742</v>
          </cell>
        </row>
        <row r="1470">
          <cell r="A1470">
            <v>44285</v>
          </cell>
          <cell r="B1470">
            <v>208.17584228515619</v>
          </cell>
          <cell r="C1470">
            <v>57.999622344970703</v>
          </cell>
          <cell r="D1470">
            <v>286.42861938476563</v>
          </cell>
          <cell r="E1470">
            <v>66.171646118164063</v>
          </cell>
          <cell r="F1470">
            <v>118.6532669067383</v>
          </cell>
        </row>
        <row r="1471">
          <cell r="A1471">
            <v>44286</v>
          </cell>
          <cell r="B1471">
            <v>210.02960205078119</v>
          </cell>
          <cell r="C1471">
            <v>58.208812713623047</v>
          </cell>
          <cell r="D1471">
            <v>292.92300415039063</v>
          </cell>
          <cell r="E1471">
            <v>65.815238952636719</v>
          </cell>
          <cell r="F1471">
            <v>120.9148864746094</v>
          </cell>
        </row>
        <row r="1472">
          <cell r="A1472">
            <v>44287</v>
          </cell>
          <cell r="B1472">
            <v>216.8200988769531</v>
          </cell>
          <cell r="C1472">
            <v>58.70904541015625</v>
          </cell>
          <cell r="D1472">
            <v>297.03048706054688</v>
          </cell>
          <cell r="E1472">
            <v>67.353446960449219</v>
          </cell>
          <cell r="F1472">
            <v>125.656982421875</v>
          </cell>
        </row>
        <row r="1473">
          <cell r="A1473">
            <v>44291</v>
          </cell>
          <cell r="B1473">
            <v>218.37646484375</v>
          </cell>
          <cell r="C1473">
            <v>60.518978118896477</v>
          </cell>
          <cell r="D1473">
            <v>307.22454833984381</v>
          </cell>
          <cell r="E1473">
            <v>69.5576171875</v>
          </cell>
          <cell r="F1473">
            <v>127.9733581542969</v>
          </cell>
        </row>
        <row r="1474">
          <cell r="A1474">
            <v>44292</v>
          </cell>
          <cell r="B1474">
            <v>219.1695251464844</v>
          </cell>
          <cell r="C1474">
            <v>59.627639770507813</v>
          </cell>
          <cell r="D1474">
            <v>304.5889892578125</v>
          </cell>
          <cell r="E1474">
            <v>69.670150756835938</v>
          </cell>
          <cell r="F1474">
            <v>125.9032516479492</v>
          </cell>
        </row>
        <row r="1475">
          <cell r="A1475">
            <v>44293</v>
          </cell>
          <cell r="B1475">
            <v>218.8721008300781</v>
          </cell>
          <cell r="C1475">
            <v>60.255214691162109</v>
          </cell>
          <cell r="D1475">
            <v>311.3817138671875</v>
          </cell>
          <cell r="E1475">
            <v>69.773780822753906</v>
          </cell>
          <cell r="F1475">
            <v>127.1525955200195</v>
          </cell>
        </row>
        <row r="1476">
          <cell r="A1476">
            <v>44294</v>
          </cell>
          <cell r="B1476">
            <v>222.50030517578119</v>
          </cell>
          <cell r="C1476">
            <v>60.982830047607422</v>
          </cell>
          <cell r="D1476">
            <v>311.3121337890625</v>
          </cell>
          <cell r="E1476">
            <v>70.913589477539063</v>
          </cell>
          <cell r="F1476">
            <v>127.9824752807617</v>
          </cell>
        </row>
        <row r="1477">
          <cell r="A1477">
            <v>44295</v>
          </cell>
          <cell r="B1477">
            <v>229.27099609375</v>
          </cell>
          <cell r="C1477">
            <v>62.083328247070313</v>
          </cell>
          <cell r="D1477">
            <v>310.75518798828119</v>
          </cell>
          <cell r="E1477">
            <v>71.196197509765625</v>
          </cell>
          <cell r="F1477">
            <v>128.19221496582031</v>
          </cell>
        </row>
        <row r="1478">
          <cell r="A1478">
            <v>44298</v>
          </cell>
          <cell r="B1478">
            <v>226.77288818359381</v>
          </cell>
          <cell r="C1478">
            <v>59.491226196289063</v>
          </cell>
          <cell r="D1478">
            <v>309.8402099609375</v>
          </cell>
          <cell r="E1478">
            <v>71.704879760742188</v>
          </cell>
          <cell r="F1478">
            <v>125.3378524780273</v>
          </cell>
        </row>
        <row r="1479">
          <cell r="A1479">
            <v>44299</v>
          </cell>
          <cell r="B1479">
            <v>229.9847412109375</v>
          </cell>
          <cell r="C1479">
            <v>59.318424224853523</v>
          </cell>
          <cell r="D1479">
            <v>308.0699462890625</v>
          </cell>
          <cell r="E1479">
            <v>72.222984313964844</v>
          </cell>
          <cell r="F1479">
            <v>125.2101593017578</v>
          </cell>
        </row>
        <row r="1480">
          <cell r="A1480">
            <v>44300</v>
          </cell>
          <cell r="B1480">
            <v>226.03932189941409</v>
          </cell>
          <cell r="C1480">
            <v>58.381614685058587</v>
          </cell>
          <cell r="D1480">
            <v>301.16781616210938</v>
          </cell>
          <cell r="E1480">
            <v>72.364273071289063</v>
          </cell>
          <cell r="F1480">
            <v>122.88470458984381</v>
          </cell>
        </row>
        <row r="1481">
          <cell r="A1481">
            <v>44301</v>
          </cell>
          <cell r="B1481">
            <v>230.97605895996091</v>
          </cell>
          <cell r="C1481">
            <v>59.136501312255859</v>
          </cell>
          <cell r="D1481">
            <v>306.1405029296875</v>
          </cell>
          <cell r="E1481">
            <v>73.749008178710938</v>
          </cell>
          <cell r="F1481">
            <v>125.7025985717773</v>
          </cell>
        </row>
        <row r="1482">
          <cell r="A1482">
            <v>44302</v>
          </cell>
          <cell r="B1482">
            <v>229.8955383300781</v>
          </cell>
          <cell r="C1482">
            <v>58.890953063964837</v>
          </cell>
          <cell r="D1482">
            <v>304.50942993164063</v>
          </cell>
          <cell r="E1482">
            <v>74.3707275390625</v>
          </cell>
          <cell r="F1482">
            <v>126.0400466918945</v>
          </cell>
        </row>
        <row r="1483">
          <cell r="A1483">
            <v>44305</v>
          </cell>
          <cell r="B1483">
            <v>228.4977722167969</v>
          </cell>
          <cell r="C1483">
            <v>57.872287750244141</v>
          </cell>
          <cell r="D1483">
            <v>300.5909423828125</v>
          </cell>
          <cell r="E1483">
            <v>74.182327270507813</v>
          </cell>
          <cell r="F1483">
            <v>123.3406219482422</v>
          </cell>
        </row>
        <row r="1484">
          <cell r="A1484">
            <v>44306</v>
          </cell>
          <cell r="B1484">
            <v>225.97984313964841</v>
          </cell>
          <cell r="C1484">
            <v>57.026443481445313</v>
          </cell>
          <cell r="D1484">
            <v>300.99868774414063</v>
          </cell>
          <cell r="E1484">
            <v>74.643913269042969</v>
          </cell>
          <cell r="F1484">
            <v>121.6535568237305</v>
          </cell>
        </row>
        <row r="1485">
          <cell r="A1485">
            <v>44307</v>
          </cell>
          <cell r="B1485">
            <v>228.5572509765625</v>
          </cell>
          <cell r="C1485">
            <v>57.935958862304688</v>
          </cell>
          <cell r="D1485">
            <v>299.82513427734381</v>
          </cell>
          <cell r="E1485">
            <v>72.213569641113281</v>
          </cell>
          <cell r="F1485">
            <v>124.1978759765625</v>
          </cell>
        </row>
        <row r="1486">
          <cell r="A1486">
            <v>44308</v>
          </cell>
          <cell r="B1486">
            <v>229.34039306640619</v>
          </cell>
          <cell r="C1486">
            <v>56.908214569091797</v>
          </cell>
          <cell r="D1486">
            <v>294.90216064453119</v>
          </cell>
          <cell r="E1486">
            <v>70.527389526367188</v>
          </cell>
          <cell r="F1486">
            <v>121.26145935058589</v>
          </cell>
        </row>
        <row r="1487">
          <cell r="A1487">
            <v>44309</v>
          </cell>
          <cell r="B1487">
            <v>231.48162841796881</v>
          </cell>
          <cell r="C1487">
            <v>53.879528045654297</v>
          </cell>
          <cell r="D1487">
            <v>299.48699951171881</v>
          </cell>
          <cell r="E1487">
            <v>70.621589660644531</v>
          </cell>
          <cell r="F1487">
            <v>123.50482177734381</v>
          </cell>
        </row>
        <row r="1488">
          <cell r="A1488">
            <v>44312</v>
          </cell>
          <cell r="B1488">
            <v>233.41468811035159</v>
          </cell>
          <cell r="C1488">
            <v>53.442970275878913</v>
          </cell>
          <cell r="D1488">
            <v>301.38656616210938</v>
          </cell>
          <cell r="E1488">
            <v>70.178840637207031</v>
          </cell>
          <cell r="F1488">
            <v>126.723991394043</v>
          </cell>
        </row>
        <row r="1489">
          <cell r="A1489">
            <v>44313</v>
          </cell>
          <cell r="B1489">
            <v>232.17555236816409</v>
          </cell>
          <cell r="C1489">
            <v>52.724460601806641</v>
          </cell>
          <cell r="D1489">
            <v>301.9136962890625</v>
          </cell>
          <cell r="E1489">
            <v>70.857078552246094</v>
          </cell>
          <cell r="F1489">
            <v>125.85764312744141</v>
          </cell>
        </row>
        <row r="1490">
          <cell r="A1490">
            <v>44314</v>
          </cell>
          <cell r="B1490">
            <v>234.8223571777344</v>
          </cell>
          <cell r="C1490">
            <v>52.406120300292969</v>
          </cell>
          <cell r="D1490">
            <v>305.4244384765625</v>
          </cell>
          <cell r="E1490">
            <v>70.433181762695313</v>
          </cell>
          <cell r="F1490">
            <v>124.54444885253911</v>
          </cell>
        </row>
        <row r="1491">
          <cell r="A1491">
            <v>44315</v>
          </cell>
          <cell r="B1491">
            <v>232.3242492675781</v>
          </cell>
          <cell r="C1491">
            <v>53.006401062011719</v>
          </cell>
          <cell r="D1491">
            <v>327.71218872070313</v>
          </cell>
          <cell r="E1491">
            <v>71.469390869140625</v>
          </cell>
          <cell r="F1491">
            <v>130.11639404296881</v>
          </cell>
        </row>
        <row r="1492">
          <cell r="A1492">
            <v>44316</v>
          </cell>
          <cell r="B1492">
            <v>228.3193664550781</v>
          </cell>
          <cell r="C1492">
            <v>52.324256896972663</v>
          </cell>
          <cell r="D1492">
            <v>323.30630493164063</v>
          </cell>
          <cell r="E1492">
            <v>71.394012451171875</v>
          </cell>
          <cell r="F1492">
            <v>126.5780868530273</v>
          </cell>
        </row>
        <row r="1493">
          <cell r="A1493">
            <v>44319</v>
          </cell>
          <cell r="B1493">
            <v>221.8163146972656</v>
          </cell>
          <cell r="C1493">
            <v>52.078693389892578</v>
          </cell>
          <cell r="D1493">
            <v>320.81991577148438</v>
          </cell>
          <cell r="E1493">
            <v>72.844696044921875</v>
          </cell>
          <cell r="F1493">
            <v>125.3286972045898</v>
          </cell>
        </row>
        <row r="1494">
          <cell r="A1494">
            <v>44320</v>
          </cell>
          <cell r="B1494">
            <v>215.2934875488281</v>
          </cell>
          <cell r="C1494">
            <v>51.751270294189453</v>
          </cell>
          <cell r="D1494">
            <v>316.62295532226563</v>
          </cell>
          <cell r="E1494">
            <v>73.97509765625</v>
          </cell>
          <cell r="F1494">
            <v>122.31015777587891</v>
          </cell>
        </row>
        <row r="1495">
          <cell r="A1495">
            <v>44321</v>
          </cell>
          <cell r="B1495">
            <v>213.52891540527341</v>
          </cell>
          <cell r="C1495">
            <v>51.705791473388672</v>
          </cell>
          <cell r="D1495">
            <v>313.30120849609381</v>
          </cell>
          <cell r="E1495">
            <v>74.596832275390625</v>
          </cell>
          <cell r="F1495">
            <v>122.7934951782227</v>
          </cell>
        </row>
        <row r="1496">
          <cell r="A1496">
            <v>44322</v>
          </cell>
          <cell r="B1496">
            <v>216.1559143066406</v>
          </cell>
          <cell r="C1496">
            <v>52.33538818359375</v>
          </cell>
          <cell r="D1496">
            <v>318.27389526367188</v>
          </cell>
          <cell r="E1496">
            <v>75.114913940429688</v>
          </cell>
          <cell r="F1496">
            <v>124.0246276855469</v>
          </cell>
        </row>
        <row r="1497">
          <cell r="A1497">
            <v>44323</v>
          </cell>
          <cell r="B1497">
            <v>214.61936950683591</v>
          </cell>
          <cell r="C1497">
            <v>52.774654388427727</v>
          </cell>
          <cell r="D1497">
            <v>317.33905029296881</v>
          </cell>
          <cell r="E1497">
            <v>75.736625671386719</v>
          </cell>
          <cell r="F1497">
            <v>125.7117156982422</v>
          </cell>
        </row>
        <row r="1498">
          <cell r="A1498">
            <v>44326</v>
          </cell>
          <cell r="B1498">
            <v>212.03204345703119</v>
          </cell>
          <cell r="C1498">
            <v>51.218959808349609</v>
          </cell>
          <cell r="D1498">
            <v>304.30062866210938</v>
          </cell>
          <cell r="E1498">
            <v>75.501129150390625</v>
          </cell>
          <cell r="F1498">
            <v>117.586296081543</v>
          </cell>
        </row>
        <row r="1499">
          <cell r="A1499">
            <v>44327</v>
          </cell>
          <cell r="B1499">
            <v>213.68754577636719</v>
          </cell>
          <cell r="C1499">
            <v>50.367904663085938</v>
          </cell>
          <cell r="D1499">
            <v>304.85751342773438</v>
          </cell>
          <cell r="E1499">
            <v>73.183807373046875</v>
          </cell>
          <cell r="F1499">
            <v>117.0664749145508</v>
          </cell>
        </row>
        <row r="1500">
          <cell r="A1500">
            <v>44328</v>
          </cell>
          <cell r="B1500">
            <v>208.7111511230469</v>
          </cell>
          <cell r="C1500">
            <v>49.068439483642578</v>
          </cell>
          <cell r="D1500">
            <v>300.89920043945313</v>
          </cell>
          <cell r="E1500">
            <v>72.298347473144531</v>
          </cell>
          <cell r="F1500">
            <v>113.6466979980469</v>
          </cell>
        </row>
        <row r="1501">
          <cell r="A1501">
            <v>44329</v>
          </cell>
          <cell r="B1501">
            <v>210.01969909667969</v>
          </cell>
          <cell r="C1501">
            <v>49.425334930419922</v>
          </cell>
          <cell r="D1501">
            <v>303.59445190429688</v>
          </cell>
          <cell r="E1501">
            <v>73.607711791992188</v>
          </cell>
          <cell r="F1501">
            <v>115.9174346923828</v>
          </cell>
        </row>
        <row r="1502">
          <cell r="A1502">
            <v>44330</v>
          </cell>
          <cell r="B1502">
            <v>215.7693176269531</v>
          </cell>
          <cell r="C1502">
            <v>50.651576995849609</v>
          </cell>
          <cell r="D1502">
            <v>314.2161865234375</v>
          </cell>
          <cell r="E1502">
            <v>74.314201354980469</v>
          </cell>
          <cell r="F1502">
            <v>118.6897277832031</v>
          </cell>
        </row>
        <row r="1503">
          <cell r="A1503">
            <v>44333</v>
          </cell>
          <cell r="B1503">
            <v>213.19189453125</v>
          </cell>
          <cell r="C1503">
            <v>50.633281707763672</v>
          </cell>
          <cell r="D1503">
            <v>313.73880004882813</v>
          </cell>
          <cell r="E1503">
            <v>74.493186950683594</v>
          </cell>
          <cell r="F1503">
            <v>118.3705749511719</v>
          </cell>
        </row>
        <row r="1504">
          <cell r="A1504">
            <v>44334</v>
          </cell>
          <cell r="B1504">
            <v>212.46824645996091</v>
          </cell>
          <cell r="C1504">
            <v>50.184879302978523</v>
          </cell>
          <cell r="D1504">
            <v>308.26882934570313</v>
          </cell>
          <cell r="E1504">
            <v>74.125823974609375</v>
          </cell>
          <cell r="F1504">
            <v>117.55893707275391</v>
          </cell>
        </row>
        <row r="1505">
          <cell r="A1505">
            <v>44335</v>
          </cell>
          <cell r="B1505">
            <v>219.41734313964841</v>
          </cell>
          <cell r="C1505">
            <v>50.660732269287109</v>
          </cell>
          <cell r="D1505">
            <v>311.8790283203125</v>
          </cell>
          <cell r="E1505">
            <v>74.172897338867188</v>
          </cell>
          <cell r="F1505">
            <v>119.1548233032227</v>
          </cell>
        </row>
        <row r="1506">
          <cell r="A1506">
            <v>44336</v>
          </cell>
          <cell r="B1506">
            <v>221.8361511230469</v>
          </cell>
          <cell r="C1506">
            <v>51.200656890869141</v>
          </cell>
          <cell r="D1506">
            <v>316.87158203125</v>
          </cell>
          <cell r="E1506">
            <v>74.154083251953125</v>
          </cell>
          <cell r="F1506">
            <v>120.96046447753911</v>
          </cell>
        </row>
        <row r="1507">
          <cell r="A1507">
            <v>44337</v>
          </cell>
          <cell r="B1507">
            <v>220.6465759277344</v>
          </cell>
          <cell r="C1507">
            <v>51.319618225097663</v>
          </cell>
          <cell r="D1507">
            <v>314.50460815429688</v>
          </cell>
          <cell r="E1507">
            <v>74.446090698242188</v>
          </cell>
          <cell r="F1507">
            <v>119.884407043457</v>
          </cell>
        </row>
        <row r="1508">
          <cell r="A1508">
            <v>44340</v>
          </cell>
          <cell r="B1508">
            <v>225.01826477050781</v>
          </cell>
          <cell r="C1508">
            <v>52.124912261962891</v>
          </cell>
          <cell r="D1508">
            <v>322.85879516601563</v>
          </cell>
          <cell r="E1508">
            <v>74.775787353515625</v>
          </cell>
          <cell r="F1508">
            <v>121.2067184448242</v>
          </cell>
        </row>
        <row r="1509">
          <cell r="A1509">
            <v>44341</v>
          </cell>
          <cell r="B1509">
            <v>225.7320251464844</v>
          </cell>
          <cell r="C1509">
            <v>52.042564392089837</v>
          </cell>
          <cell r="D1509">
            <v>326.00155639648438</v>
          </cell>
          <cell r="E1509">
            <v>74.257698059082031</v>
          </cell>
          <cell r="F1509">
            <v>121.97275543212891</v>
          </cell>
        </row>
        <row r="1510">
          <cell r="A1510">
            <v>44342</v>
          </cell>
          <cell r="B1510">
            <v>227.68489074707031</v>
          </cell>
          <cell r="C1510">
            <v>52.088314056396477</v>
          </cell>
          <cell r="D1510">
            <v>325.87225341796881</v>
          </cell>
          <cell r="E1510">
            <v>74.662757873535156</v>
          </cell>
          <cell r="F1510">
            <v>121.37087249755859</v>
          </cell>
        </row>
        <row r="1511">
          <cell r="A1511">
            <v>44343</v>
          </cell>
          <cell r="B1511">
            <v>223.86834716796881</v>
          </cell>
          <cell r="C1511">
            <v>52.829563140869141</v>
          </cell>
          <cell r="D1511">
            <v>330.93447875976563</v>
          </cell>
          <cell r="E1511">
            <v>74.398994445800781</v>
          </cell>
          <cell r="F1511">
            <v>121.8724365234375</v>
          </cell>
        </row>
        <row r="1512">
          <cell r="A1512">
            <v>44344</v>
          </cell>
          <cell r="B1512">
            <v>236.03175354003909</v>
          </cell>
          <cell r="C1512">
            <v>52.271343231201172</v>
          </cell>
          <cell r="D1512">
            <v>326.9364013671875</v>
          </cell>
          <cell r="E1512">
            <v>74.172897338867188</v>
          </cell>
          <cell r="F1512">
            <v>122.6931838989258</v>
          </cell>
        </row>
        <row r="1513">
          <cell r="A1513">
            <v>44348</v>
          </cell>
          <cell r="B1513">
            <v>234.14826965332031</v>
          </cell>
          <cell r="C1513">
            <v>52.060863494873047</v>
          </cell>
          <cell r="D1513">
            <v>327.33419799804688</v>
          </cell>
          <cell r="E1513">
            <v>74.95477294921875</v>
          </cell>
          <cell r="F1513">
            <v>122.14601898193359</v>
          </cell>
        </row>
        <row r="1514">
          <cell r="A1514">
            <v>44349</v>
          </cell>
          <cell r="B1514">
            <v>232.58198547363281</v>
          </cell>
          <cell r="C1514">
            <v>52.600776672363281</v>
          </cell>
          <cell r="D1514">
            <v>327.3541259765625</v>
          </cell>
          <cell r="E1514">
            <v>75.614166259765625</v>
          </cell>
          <cell r="F1514">
            <v>122.65931701660161</v>
          </cell>
        </row>
        <row r="1515">
          <cell r="A1515">
            <v>44350</v>
          </cell>
          <cell r="B1515">
            <v>228.8348388671875</v>
          </cell>
          <cell r="C1515">
            <v>51.466041564941413</v>
          </cell>
          <cell r="D1515">
            <v>324.2611083984375</v>
          </cell>
          <cell r="E1515">
            <v>76.386604309082031</v>
          </cell>
          <cell r="F1515">
            <v>120.78944396972661</v>
          </cell>
        </row>
        <row r="1516">
          <cell r="A1516">
            <v>44351</v>
          </cell>
          <cell r="B1516">
            <v>235.4171142578125</v>
          </cell>
          <cell r="C1516">
            <v>52.500110626220703</v>
          </cell>
          <cell r="D1516">
            <v>328.54754638671881</v>
          </cell>
          <cell r="E1516">
            <v>78.082199096679688</v>
          </cell>
          <cell r="F1516">
            <v>123.1359558105469</v>
          </cell>
        </row>
        <row r="1517">
          <cell r="A1517">
            <v>44354</v>
          </cell>
          <cell r="B1517">
            <v>236.07139587402341</v>
          </cell>
          <cell r="C1517">
            <v>52.243881225585938</v>
          </cell>
          <cell r="D1517">
            <v>334.7435302734375</v>
          </cell>
          <cell r="E1517">
            <v>79.071304321289063</v>
          </cell>
          <cell r="F1517">
            <v>122.2010192871094</v>
          </cell>
        </row>
        <row r="1518">
          <cell r="A1518">
            <v>44355</v>
          </cell>
          <cell r="B1518">
            <v>234.36634826660159</v>
          </cell>
          <cell r="C1518">
            <v>52.161525726318359</v>
          </cell>
          <cell r="D1518">
            <v>331.859375</v>
          </cell>
          <cell r="E1518">
            <v>79.702430725097656</v>
          </cell>
          <cell r="F1518">
            <v>123.0076141357422</v>
          </cell>
        </row>
        <row r="1519">
          <cell r="A1519">
            <v>44356</v>
          </cell>
          <cell r="B1519">
            <v>234.03919982910159</v>
          </cell>
          <cell r="C1519">
            <v>52.161525726318359</v>
          </cell>
          <cell r="D1519">
            <v>328.44808959960938</v>
          </cell>
          <cell r="E1519">
            <v>79.617645263671875</v>
          </cell>
          <cell r="F1519">
            <v>121.806884765625</v>
          </cell>
        </row>
        <row r="1520">
          <cell r="A1520">
            <v>44357</v>
          </cell>
          <cell r="B1520">
            <v>238.1036071777344</v>
          </cell>
          <cell r="C1520">
            <v>52.509265899658203</v>
          </cell>
          <cell r="D1520">
            <v>330.64605712890619</v>
          </cell>
          <cell r="E1520">
            <v>77.526435852050781</v>
          </cell>
          <cell r="F1520">
            <v>123.02593994140619</v>
          </cell>
        </row>
        <row r="1521">
          <cell r="A1521">
            <v>44358</v>
          </cell>
          <cell r="B1521">
            <v>238.2225341796875</v>
          </cell>
          <cell r="C1521">
            <v>52.939373016357422</v>
          </cell>
          <cell r="D1521">
            <v>329.45260620117188</v>
          </cell>
          <cell r="E1521">
            <v>78.09161376953125</v>
          </cell>
          <cell r="F1521">
            <v>123.3925704956055</v>
          </cell>
        </row>
        <row r="1522">
          <cell r="A1522">
            <v>44361</v>
          </cell>
          <cell r="B1522">
            <v>244.1208801269531</v>
          </cell>
          <cell r="C1522">
            <v>53.250511169433587</v>
          </cell>
          <cell r="D1522">
            <v>334.93252563476563</v>
          </cell>
          <cell r="E1522">
            <v>77.827865600585938</v>
          </cell>
          <cell r="F1522">
            <v>125.8582229614258</v>
          </cell>
        </row>
        <row r="1523">
          <cell r="A1523">
            <v>44362</v>
          </cell>
          <cell r="B1523">
            <v>240.47283935546881</v>
          </cell>
          <cell r="C1523">
            <v>53.067481994628913</v>
          </cell>
          <cell r="D1523">
            <v>334.91262817382813</v>
          </cell>
          <cell r="E1523">
            <v>76.904693603515625</v>
          </cell>
          <cell r="F1523">
            <v>124.2725448608398</v>
          </cell>
        </row>
        <row r="1524">
          <cell r="A1524">
            <v>44363</v>
          </cell>
          <cell r="B1524">
            <v>240.28450012207031</v>
          </cell>
          <cell r="C1524">
            <v>52.362842559814453</v>
          </cell>
          <cell r="D1524">
            <v>329.27359008789063</v>
          </cell>
          <cell r="E1524">
            <v>72.60919189453125</v>
          </cell>
          <cell r="F1524">
            <v>123.6950988769531</v>
          </cell>
        </row>
        <row r="1525">
          <cell r="A1525">
            <v>44364</v>
          </cell>
          <cell r="B1525">
            <v>242.3067626953125</v>
          </cell>
          <cell r="C1525">
            <v>52.326240539550781</v>
          </cell>
          <cell r="D1525">
            <v>334.67398071289063</v>
          </cell>
          <cell r="E1525">
            <v>73.061347961425781</v>
          </cell>
          <cell r="F1525">
            <v>124.0617141723633</v>
          </cell>
        </row>
        <row r="1526">
          <cell r="A1526">
            <v>44365</v>
          </cell>
          <cell r="B1526">
            <v>240.6711120605469</v>
          </cell>
          <cell r="C1526">
            <v>50.944423675537109</v>
          </cell>
          <cell r="D1526">
            <v>327.861328125</v>
          </cell>
          <cell r="E1526">
            <v>71.808479309082031</v>
          </cell>
          <cell r="F1526">
            <v>121.9077072143555</v>
          </cell>
        </row>
        <row r="1527">
          <cell r="A1527">
            <v>44368</v>
          </cell>
          <cell r="B1527">
            <v>242.3563232421875</v>
          </cell>
          <cell r="C1527">
            <v>51.127452850341797</v>
          </cell>
          <cell r="D1527">
            <v>330.47698974609381</v>
          </cell>
          <cell r="E1527">
            <v>73.466407775878906</v>
          </cell>
          <cell r="F1527">
            <v>122.78765869140619</v>
          </cell>
        </row>
        <row r="1528">
          <cell r="A1528">
            <v>44369</v>
          </cell>
          <cell r="B1528">
            <v>240.99822998046881</v>
          </cell>
          <cell r="C1528">
            <v>51.127452850341797</v>
          </cell>
          <cell r="D1528">
            <v>337.18023681640619</v>
          </cell>
          <cell r="E1528">
            <v>74.11639404296875</v>
          </cell>
          <cell r="F1528">
            <v>123.8142395019531</v>
          </cell>
        </row>
        <row r="1529">
          <cell r="A1529">
            <v>44370</v>
          </cell>
          <cell r="B1529">
            <v>239.7392883300781</v>
          </cell>
          <cell r="C1529">
            <v>50.569225311279297</v>
          </cell>
          <cell r="D1529">
            <v>338.731689453125</v>
          </cell>
          <cell r="E1529">
            <v>73.570045471191406</v>
          </cell>
          <cell r="F1529">
            <v>124.21754455566411</v>
          </cell>
        </row>
        <row r="1530">
          <cell r="A1530">
            <v>44371</v>
          </cell>
          <cell r="B1530">
            <v>241.65251159667969</v>
          </cell>
          <cell r="C1530">
            <v>51.310470581054688</v>
          </cell>
          <cell r="D1530">
            <v>341.30758666992188</v>
          </cell>
          <cell r="E1530">
            <v>73.230903625488281</v>
          </cell>
          <cell r="F1530">
            <v>126.41737365722661</v>
          </cell>
        </row>
        <row r="1531">
          <cell r="A1531">
            <v>44372</v>
          </cell>
          <cell r="B1531">
            <v>239.7690124511719</v>
          </cell>
          <cell r="C1531">
            <v>51.164051055908203</v>
          </cell>
          <cell r="D1531">
            <v>339.5074462890625</v>
          </cell>
          <cell r="E1531">
            <v>73.909141540527344</v>
          </cell>
          <cell r="F1531">
            <v>126.1698913574219</v>
          </cell>
        </row>
        <row r="1532">
          <cell r="A1532">
            <v>44375</v>
          </cell>
          <cell r="B1532">
            <v>242.44557189941409</v>
          </cell>
          <cell r="C1532">
            <v>52.600776672363281</v>
          </cell>
          <cell r="D1532">
            <v>353.69961547851563</v>
          </cell>
          <cell r="E1532">
            <v>73.946830749511719</v>
          </cell>
          <cell r="F1532">
            <v>128.0672302246094</v>
          </cell>
        </row>
        <row r="1533">
          <cell r="A1533">
            <v>44376</v>
          </cell>
          <cell r="B1533">
            <v>243.6747741699219</v>
          </cell>
          <cell r="C1533">
            <v>51.932746887207031</v>
          </cell>
          <cell r="D1533">
            <v>349.97003173828119</v>
          </cell>
          <cell r="E1533">
            <v>73.570045471191406</v>
          </cell>
          <cell r="F1533">
            <v>130.72535705566409</v>
          </cell>
        </row>
        <row r="1534">
          <cell r="A1534">
            <v>44377</v>
          </cell>
          <cell r="B1534">
            <v>242.1481628417969</v>
          </cell>
          <cell r="C1534">
            <v>51.374519348144531</v>
          </cell>
          <cell r="D1534">
            <v>345.81283569335938</v>
          </cell>
          <cell r="E1534">
            <v>73.325111389160156</v>
          </cell>
          <cell r="F1534">
            <v>131.009521484375</v>
          </cell>
        </row>
        <row r="1535">
          <cell r="A1535">
            <v>44378</v>
          </cell>
          <cell r="B1535">
            <v>242.85198974609381</v>
          </cell>
          <cell r="C1535">
            <v>51.25555419921875</v>
          </cell>
          <cell r="D1535">
            <v>352.4564208984375</v>
          </cell>
          <cell r="E1535">
            <v>74.926490783691406</v>
          </cell>
          <cell r="F1535">
            <v>129.05720520019531</v>
          </cell>
        </row>
        <row r="1536">
          <cell r="A1536">
            <v>44379</v>
          </cell>
          <cell r="B1536">
            <v>246.04402160644531</v>
          </cell>
          <cell r="C1536">
            <v>51.941890716552727</v>
          </cell>
          <cell r="D1536">
            <v>352.76473999023438</v>
          </cell>
          <cell r="E1536">
            <v>77.074264526367188</v>
          </cell>
          <cell r="F1536">
            <v>130.688720703125</v>
          </cell>
        </row>
        <row r="1537">
          <cell r="A1537">
            <v>44383</v>
          </cell>
          <cell r="B1537">
            <v>248.07623291015619</v>
          </cell>
          <cell r="C1537">
            <v>51.328769683837891</v>
          </cell>
          <cell r="D1537">
            <v>350.85516357421881</v>
          </cell>
          <cell r="E1537">
            <v>78.261184692382813</v>
          </cell>
          <cell r="F1537">
            <v>129.4146728515625</v>
          </cell>
        </row>
        <row r="1538">
          <cell r="A1538">
            <v>44384</v>
          </cell>
          <cell r="B1538">
            <v>246.2819519042969</v>
          </cell>
          <cell r="C1538">
            <v>51.209804534912109</v>
          </cell>
          <cell r="D1538">
            <v>348.57766723632813</v>
          </cell>
          <cell r="E1538">
            <v>81.096603393554688</v>
          </cell>
          <cell r="F1538">
            <v>128.29640197753909</v>
          </cell>
        </row>
        <row r="1539">
          <cell r="A1539">
            <v>44385</v>
          </cell>
          <cell r="B1539">
            <v>243.66487121582031</v>
          </cell>
          <cell r="C1539">
            <v>50.688182830810547</v>
          </cell>
          <cell r="D1539">
            <v>343.76406860351563</v>
          </cell>
          <cell r="E1539">
            <v>80.625602722167969</v>
          </cell>
          <cell r="F1539">
            <v>126.75649261474609</v>
          </cell>
        </row>
        <row r="1540">
          <cell r="A1540">
            <v>44386</v>
          </cell>
          <cell r="B1540">
            <v>242.9312744140625</v>
          </cell>
          <cell r="C1540">
            <v>51.237262725830078</v>
          </cell>
          <cell r="D1540">
            <v>348.50808715820313</v>
          </cell>
          <cell r="E1540">
            <v>82.669731140136719</v>
          </cell>
          <cell r="F1540">
            <v>129.6346435546875</v>
          </cell>
        </row>
        <row r="1541">
          <cell r="A1541">
            <v>44389</v>
          </cell>
          <cell r="B1541">
            <v>240.79997253417969</v>
          </cell>
          <cell r="C1541">
            <v>51.914436340332031</v>
          </cell>
          <cell r="D1541">
            <v>351.23309326171881</v>
          </cell>
          <cell r="E1541">
            <v>82.0291748046875</v>
          </cell>
          <cell r="F1541">
            <v>130.58787536621091</v>
          </cell>
        </row>
        <row r="1542">
          <cell r="A1542">
            <v>44390</v>
          </cell>
          <cell r="B1542">
            <v>241.90034484863281</v>
          </cell>
          <cell r="C1542">
            <v>52.042564392089837</v>
          </cell>
          <cell r="D1542">
            <v>350.16897583007813</v>
          </cell>
          <cell r="E1542">
            <v>82.019752502441406</v>
          </cell>
          <cell r="F1542">
            <v>129.4054870605469</v>
          </cell>
        </row>
        <row r="1543">
          <cell r="A1543">
            <v>44391</v>
          </cell>
          <cell r="B1543">
            <v>240.32414245605469</v>
          </cell>
          <cell r="C1543">
            <v>51.722274780273438</v>
          </cell>
          <cell r="D1543">
            <v>345.7332763671875</v>
          </cell>
          <cell r="E1543">
            <v>83.466331481933594</v>
          </cell>
          <cell r="F1543">
            <v>131.76112365722659</v>
          </cell>
        </row>
        <row r="1544">
          <cell r="A1544">
            <v>44392</v>
          </cell>
          <cell r="B1544">
            <v>235.5162658691406</v>
          </cell>
          <cell r="C1544">
            <v>51.072540283203118</v>
          </cell>
          <cell r="D1544">
            <v>342.58059692382813</v>
          </cell>
          <cell r="E1544">
            <v>81.537551879882813</v>
          </cell>
          <cell r="F1544">
            <v>129.662109375</v>
          </cell>
        </row>
        <row r="1545">
          <cell r="A1545">
            <v>44393</v>
          </cell>
          <cell r="B1545">
            <v>236.35888671875</v>
          </cell>
          <cell r="C1545">
            <v>50.303844451904297</v>
          </cell>
          <cell r="D1545">
            <v>339.29861450195313</v>
          </cell>
          <cell r="E1545">
            <v>82.719398498535156</v>
          </cell>
          <cell r="F1545">
            <v>128.0580749511719</v>
          </cell>
        </row>
        <row r="1546">
          <cell r="A1546">
            <v>44396</v>
          </cell>
          <cell r="B1546">
            <v>235.48652648925781</v>
          </cell>
          <cell r="C1546">
            <v>50.001850128173828</v>
          </cell>
          <cell r="D1546">
            <v>335.111572265625</v>
          </cell>
          <cell r="E1546">
            <v>82.237205505371094</v>
          </cell>
          <cell r="F1546">
            <v>127.21482086181641</v>
          </cell>
        </row>
        <row r="1547">
          <cell r="A1547">
            <v>44397</v>
          </cell>
          <cell r="B1547">
            <v>238.0242919921875</v>
          </cell>
          <cell r="C1547">
            <v>50.550926208496087</v>
          </cell>
          <cell r="D1547">
            <v>339.79583740234381</v>
          </cell>
          <cell r="E1547">
            <v>83.825630187988281</v>
          </cell>
          <cell r="F1547">
            <v>127.9114227294922</v>
          </cell>
        </row>
        <row r="1548">
          <cell r="A1548">
            <v>44398</v>
          </cell>
          <cell r="B1548">
            <v>240.00694274902341</v>
          </cell>
          <cell r="C1548">
            <v>51.456886291503913</v>
          </cell>
          <cell r="D1548">
            <v>344.34091186523438</v>
          </cell>
          <cell r="E1548">
            <v>84.799446105957031</v>
          </cell>
          <cell r="F1548">
            <v>130.31294250488281</v>
          </cell>
        </row>
        <row r="1549">
          <cell r="A1549">
            <v>44399</v>
          </cell>
          <cell r="B1549">
            <v>246.12333679199219</v>
          </cell>
          <cell r="C1549">
            <v>51.209804534912109</v>
          </cell>
          <cell r="D1549">
            <v>349.27386474609381</v>
          </cell>
          <cell r="E1549">
            <v>85.744918823242188</v>
          </cell>
          <cell r="F1549">
            <v>130.5603942871094</v>
          </cell>
        </row>
        <row r="1550">
          <cell r="A1550">
            <v>44400</v>
          </cell>
          <cell r="B1550">
            <v>246.0935974121094</v>
          </cell>
          <cell r="C1550">
            <v>48.501068115234382</v>
          </cell>
          <cell r="D1550">
            <v>367.77239990234381</v>
          </cell>
          <cell r="E1550">
            <v>82.908500671386719</v>
          </cell>
          <cell r="F1550">
            <v>132.79689025878909</v>
          </cell>
        </row>
        <row r="1551">
          <cell r="A1551">
            <v>44403</v>
          </cell>
          <cell r="B1551">
            <v>245.4492492675781</v>
          </cell>
          <cell r="C1551">
            <v>49.699867248535163</v>
          </cell>
          <cell r="D1551">
            <v>370.42779541015619</v>
          </cell>
          <cell r="E1551">
            <v>83.069236755371094</v>
          </cell>
          <cell r="F1551">
            <v>131.53199768066409</v>
          </cell>
        </row>
        <row r="1552">
          <cell r="A1552">
            <v>44404</v>
          </cell>
          <cell r="B1552">
            <v>241.39476013183591</v>
          </cell>
          <cell r="C1552">
            <v>48.665786743164063</v>
          </cell>
          <cell r="D1552">
            <v>365.80316162109381</v>
          </cell>
          <cell r="E1552">
            <v>83.01251220703125</v>
          </cell>
          <cell r="F1552">
            <v>129.17628479003909</v>
          </cell>
        </row>
        <row r="1553">
          <cell r="A1553">
            <v>44405</v>
          </cell>
          <cell r="B1553">
            <v>241.84086608886719</v>
          </cell>
          <cell r="C1553">
            <v>48.56512451171875</v>
          </cell>
          <cell r="D1553">
            <v>371.24334716796881</v>
          </cell>
          <cell r="E1553">
            <v>82.426315307617188</v>
          </cell>
          <cell r="F1553">
            <v>130.5603942871094</v>
          </cell>
        </row>
        <row r="1554">
          <cell r="A1554">
            <v>44406</v>
          </cell>
          <cell r="B1554">
            <v>241.920166015625</v>
          </cell>
          <cell r="C1554">
            <v>49.141647338867188</v>
          </cell>
          <cell r="D1554">
            <v>356.36495971679688</v>
          </cell>
          <cell r="E1554">
            <v>82.851768493652344</v>
          </cell>
          <cell r="F1554">
            <v>138.3973083496094</v>
          </cell>
        </row>
        <row r="1555">
          <cell r="A1555">
            <v>44407</v>
          </cell>
          <cell r="B1555">
            <v>239.82847595214841</v>
          </cell>
          <cell r="C1555">
            <v>49.159950256347663</v>
          </cell>
          <cell r="D1555">
            <v>354.35598754882813</v>
          </cell>
          <cell r="E1555">
            <v>82.38848876953125</v>
          </cell>
          <cell r="F1555">
            <v>137.30656433105469</v>
          </cell>
        </row>
        <row r="1556">
          <cell r="A1556">
            <v>44410</v>
          </cell>
          <cell r="B1556">
            <v>238.76777648925781</v>
          </cell>
          <cell r="C1556">
            <v>49.123340606689453</v>
          </cell>
          <cell r="D1556">
            <v>350.02969360351563</v>
          </cell>
          <cell r="E1556">
            <v>82.823387145996094</v>
          </cell>
          <cell r="F1556">
            <v>136.4449768066406</v>
          </cell>
        </row>
        <row r="1557">
          <cell r="A1557">
            <v>44411</v>
          </cell>
          <cell r="B1557">
            <v>239.0354309082031</v>
          </cell>
          <cell r="C1557">
            <v>49.471084594726563</v>
          </cell>
          <cell r="D1557">
            <v>349.32357788085938</v>
          </cell>
          <cell r="E1557">
            <v>84.846717834472656</v>
          </cell>
          <cell r="F1557">
            <v>135.6108703613281</v>
          </cell>
        </row>
        <row r="1558">
          <cell r="A1558">
            <v>44412</v>
          </cell>
          <cell r="B1558">
            <v>242.04902648925781</v>
          </cell>
          <cell r="C1558">
            <v>49.324665069580078</v>
          </cell>
          <cell r="D1558">
            <v>356.96173095703119</v>
          </cell>
          <cell r="E1558">
            <v>85.13983154296875</v>
          </cell>
          <cell r="F1558">
            <v>135.85835266113281</v>
          </cell>
        </row>
        <row r="1559">
          <cell r="A1559">
            <v>44413</v>
          </cell>
          <cell r="B1559">
            <v>248.3835144042969</v>
          </cell>
          <cell r="C1559">
            <v>49.635986328125</v>
          </cell>
          <cell r="D1559">
            <v>360.98959350585938</v>
          </cell>
          <cell r="E1559">
            <v>84.553634643554688</v>
          </cell>
          <cell r="F1559">
            <v>134.58424377441409</v>
          </cell>
        </row>
        <row r="1560">
          <cell r="A1560">
            <v>44414</v>
          </cell>
          <cell r="B1560">
            <v>248.41325378417969</v>
          </cell>
          <cell r="C1560">
            <v>49.663612365722663</v>
          </cell>
          <cell r="D1560">
            <v>361.52664184570313</v>
          </cell>
          <cell r="E1560">
            <v>84.638710021972656</v>
          </cell>
          <cell r="F1560">
            <v>134.08012390136719</v>
          </cell>
        </row>
        <row r="1561">
          <cell r="A1561">
            <v>44417</v>
          </cell>
          <cell r="B1561">
            <v>247.154296875</v>
          </cell>
          <cell r="C1561">
            <v>49.783355712890618</v>
          </cell>
          <cell r="D1561">
            <v>359.63702392578119</v>
          </cell>
          <cell r="E1561">
            <v>84.998001098632813</v>
          </cell>
          <cell r="F1561">
            <v>134.66676330566409</v>
          </cell>
        </row>
        <row r="1562">
          <cell r="A1562">
            <v>44418</v>
          </cell>
          <cell r="B1562">
            <v>241.27583312988281</v>
          </cell>
          <cell r="C1562">
            <v>49.682037353515618</v>
          </cell>
          <cell r="D1562">
            <v>359.15963745117188</v>
          </cell>
          <cell r="E1562">
            <v>84.752174377441406</v>
          </cell>
          <cell r="F1562">
            <v>133.7043151855469</v>
          </cell>
        </row>
        <row r="1563">
          <cell r="A1563">
            <v>44419</v>
          </cell>
          <cell r="B1563">
            <v>240.17543029785159</v>
          </cell>
          <cell r="C1563">
            <v>49.866252899169922</v>
          </cell>
          <cell r="D1563">
            <v>357.99600219726563</v>
          </cell>
          <cell r="E1563">
            <v>84.742729187011719</v>
          </cell>
          <cell r="F1563">
            <v>134.44679260253909</v>
          </cell>
        </row>
        <row r="1564">
          <cell r="A1564">
            <v>44420</v>
          </cell>
          <cell r="B1564">
            <v>246.23240661621091</v>
          </cell>
          <cell r="C1564">
            <v>49.313617706298828</v>
          </cell>
          <cell r="D1564">
            <v>360.67132568359381</v>
          </cell>
          <cell r="E1564">
            <v>84.912895202636719</v>
          </cell>
          <cell r="F1564">
            <v>134.8775634765625</v>
          </cell>
        </row>
        <row r="1565">
          <cell r="A1565">
            <v>44421</v>
          </cell>
          <cell r="B1565">
            <v>249.3748474121094</v>
          </cell>
          <cell r="C1565">
            <v>49.267559051513672</v>
          </cell>
          <cell r="D1565">
            <v>361.19845581054688</v>
          </cell>
          <cell r="E1565">
            <v>85.451820373535156</v>
          </cell>
          <cell r="F1565">
            <v>136.24330139160159</v>
          </cell>
        </row>
        <row r="1566">
          <cell r="A1566">
            <v>44424</v>
          </cell>
          <cell r="B1566">
            <v>247.03532409667969</v>
          </cell>
          <cell r="C1566">
            <v>49.249141693115227</v>
          </cell>
          <cell r="D1566">
            <v>364.55996704101563</v>
          </cell>
          <cell r="E1566">
            <v>85.867843627929688</v>
          </cell>
          <cell r="F1566">
            <v>135.77583312988281</v>
          </cell>
        </row>
        <row r="1567">
          <cell r="A1567">
            <v>44425</v>
          </cell>
          <cell r="B1567">
            <v>244.84452819824219</v>
          </cell>
          <cell r="C1567">
            <v>48.530708312988281</v>
          </cell>
          <cell r="D1567">
            <v>356.49423217773438</v>
          </cell>
          <cell r="E1567">
            <v>85.990745544433594</v>
          </cell>
          <cell r="F1567">
            <v>132.36610412597659</v>
          </cell>
        </row>
        <row r="1568">
          <cell r="A1568">
            <v>44426</v>
          </cell>
          <cell r="B1568">
            <v>249.0378112792969</v>
          </cell>
          <cell r="C1568">
            <v>48.070175170898438</v>
          </cell>
          <cell r="D1568">
            <v>353.5106201171875</v>
          </cell>
          <cell r="E1568">
            <v>84.090324401855469</v>
          </cell>
          <cell r="F1568">
            <v>130.32209777832031</v>
          </cell>
        </row>
        <row r="1569">
          <cell r="A1569">
            <v>44427</v>
          </cell>
          <cell r="B1569">
            <v>250.87174987792969</v>
          </cell>
          <cell r="C1569">
            <v>48.300445556640618</v>
          </cell>
          <cell r="D1569">
            <v>353.18240356445313</v>
          </cell>
          <cell r="E1569">
            <v>83.87286376953125</v>
          </cell>
          <cell r="F1569">
            <v>128.88301086425781</v>
          </cell>
        </row>
        <row r="1570">
          <cell r="A1570">
            <v>44428</v>
          </cell>
          <cell r="B1570">
            <v>253.90513610839841</v>
          </cell>
          <cell r="C1570">
            <v>47.904384613037109</v>
          </cell>
          <cell r="D1570">
            <v>357.40924072265619</v>
          </cell>
          <cell r="E1570">
            <v>84.090324401855469</v>
          </cell>
          <cell r="F1570">
            <v>130.23956298828119</v>
          </cell>
        </row>
        <row r="1571">
          <cell r="A1571">
            <v>44431</v>
          </cell>
          <cell r="B1571">
            <v>258.2569580078125</v>
          </cell>
          <cell r="C1571">
            <v>49.028083801269531</v>
          </cell>
          <cell r="D1571">
            <v>361.36752319335938</v>
          </cell>
          <cell r="E1571">
            <v>84.260520935058594</v>
          </cell>
          <cell r="F1571">
            <v>132.11860656738281</v>
          </cell>
        </row>
        <row r="1572">
          <cell r="A1572">
            <v>44432</v>
          </cell>
          <cell r="B1572">
            <v>257.40444946289063</v>
          </cell>
          <cell r="C1572">
            <v>49.562305450439453</v>
          </cell>
          <cell r="D1572">
            <v>363.5157470703125</v>
          </cell>
          <cell r="E1572">
            <v>83.72161865234375</v>
          </cell>
          <cell r="F1572">
            <v>132.41192626953119</v>
          </cell>
        </row>
        <row r="1573">
          <cell r="A1573">
            <v>44433</v>
          </cell>
          <cell r="B1573">
            <v>258.58413696289063</v>
          </cell>
          <cell r="C1573">
            <v>49.562305450439453</v>
          </cell>
          <cell r="D1573">
            <v>366.3800048828125</v>
          </cell>
          <cell r="E1573">
            <v>83.787788391113281</v>
          </cell>
          <cell r="F1573">
            <v>131.8711242675781</v>
          </cell>
        </row>
        <row r="1574">
          <cell r="A1574">
            <v>44434</v>
          </cell>
          <cell r="B1574">
            <v>265.46389770507813</v>
          </cell>
          <cell r="C1574">
            <v>48.935977935791023</v>
          </cell>
          <cell r="D1574">
            <v>362.39190673828119</v>
          </cell>
          <cell r="E1574">
            <v>83.882339477539063</v>
          </cell>
          <cell r="F1574">
            <v>130.50538635253909</v>
          </cell>
        </row>
        <row r="1575">
          <cell r="A1575">
            <v>44435</v>
          </cell>
          <cell r="B1575">
            <v>264.21481323242188</v>
          </cell>
          <cell r="C1575">
            <v>49.635986328125</v>
          </cell>
          <cell r="D1575">
            <v>370.59689331054688</v>
          </cell>
          <cell r="E1575">
            <v>84.477981567382813</v>
          </cell>
          <cell r="F1575">
            <v>132.7694396972656</v>
          </cell>
        </row>
        <row r="1576">
          <cell r="A1576">
            <v>44438</v>
          </cell>
          <cell r="B1576">
            <v>262.6683349609375</v>
          </cell>
          <cell r="C1576">
            <v>49.682037353515618</v>
          </cell>
          <cell r="D1576">
            <v>378.58306884765619</v>
          </cell>
          <cell r="E1576">
            <v>84.572525024414063</v>
          </cell>
          <cell r="F1576">
            <v>133.76850891113281</v>
          </cell>
        </row>
        <row r="1577">
          <cell r="A1577">
            <v>44439</v>
          </cell>
          <cell r="B1577">
            <v>262.96575927734381</v>
          </cell>
          <cell r="C1577">
            <v>49.792568206787109</v>
          </cell>
          <cell r="D1577">
            <v>377.31005859375</v>
          </cell>
          <cell r="E1577">
            <v>84.269973754882813</v>
          </cell>
          <cell r="F1577">
            <v>134.45588684082031</v>
          </cell>
        </row>
        <row r="1578">
          <cell r="A1578">
            <v>44440</v>
          </cell>
          <cell r="B1578">
            <v>265.98922729492188</v>
          </cell>
          <cell r="C1578">
            <v>49.433353424072273</v>
          </cell>
          <cell r="D1578">
            <v>379.96551513671881</v>
          </cell>
          <cell r="E1578">
            <v>85.045272827148438</v>
          </cell>
          <cell r="F1578">
            <v>134.8611145019531</v>
          </cell>
        </row>
        <row r="1579">
          <cell r="A1579">
            <v>44441</v>
          </cell>
          <cell r="B1579">
            <v>261.85543823242188</v>
          </cell>
          <cell r="C1579">
            <v>49.488609313964837</v>
          </cell>
          <cell r="D1579">
            <v>373.232421875</v>
          </cell>
          <cell r="E1579">
            <v>84.903457641601563</v>
          </cell>
          <cell r="F1579">
            <v>133.63636779785159</v>
          </cell>
        </row>
        <row r="1580">
          <cell r="A1580">
            <v>44442</v>
          </cell>
          <cell r="B1580">
            <v>264.76004028320313</v>
          </cell>
          <cell r="C1580">
            <v>49.285980224609382</v>
          </cell>
          <cell r="D1580">
            <v>374.20706176757813</v>
          </cell>
          <cell r="E1580">
            <v>85.092529296875</v>
          </cell>
          <cell r="F1580">
            <v>133.18513488769531</v>
          </cell>
        </row>
        <row r="1581">
          <cell r="A1581">
            <v>44446</v>
          </cell>
          <cell r="B1581">
            <v>262.90628051757813</v>
          </cell>
          <cell r="C1581">
            <v>49.414936065673828</v>
          </cell>
          <cell r="D1581">
            <v>380.09478759765619</v>
          </cell>
          <cell r="E1581">
            <v>83.882339477539063</v>
          </cell>
          <cell r="F1581">
            <v>132.3747863769531</v>
          </cell>
        </row>
        <row r="1582">
          <cell r="A1582">
            <v>44447</v>
          </cell>
          <cell r="B1582">
            <v>260.33877563476563</v>
          </cell>
          <cell r="C1582">
            <v>49.341243743896477</v>
          </cell>
          <cell r="D1582">
            <v>375.50994873046881</v>
          </cell>
          <cell r="E1582">
            <v>84.591453552246094</v>
          </cell>
          <cell r="F1582">
            <v>131.2420959472656</v>
          </cell>
        </row>
        <row r="1583">
          <cell r="A1583">
            <v>44448</v>
          </cell>
          <cell r="B1583">
            <v>258.47506713867188</v>
          </cell>
          <cell r="C1583">
            <v>49.184673309326172</v>
          </cell>
          <cell r="D1583">
            <v>375.93759155273438</v>
          </cell>
          <cell r="E1583">
            <v>84.657623291015625</v>
          </cell>
          <cell r="F1583">
            <v>130.3764953613281</v>
          </cell>
        </row>
        <row r="1584">
          <cell r="A1584">
            <v>44449</v>
          </cell>
          <cell r="B1584">
            <v>254.96586608886719</v>
          </cell>
          <cell r="C1584">
            <v>49.589939117431641</v>
          </cell>
          <cell r="D1584">
            <v>376.62380981445313</v>
          </cell>
          <cell r="E1584">
            <v>84.789985656738281</v>
          </cell>
          <cell r="F1584">
            <v>131.38941955566409</v>
          </cell>
        </row>
        <row r="1585">
          <cell r="A1585">
            <v>44452</v>
          </cell>
          <cell r="B1585">
            <v>251.90269470214841</v>
          </cell>
          <cell r="C1585">
            <v>50.649150848388672</v>
          </cell>
          <cell r="D1585">
            <v>374.4556884765625</v>
          </cell>
          <cell r="E1585">
            <v>84.043060302734375</v>
          </cell>
          <cell r="F1585">
            <v>132.06170654296881</v>
          </cell>
        </row>
        <row r="1586">
          <cell r="A1586">
            <v>44453</v>
          </cell>
          <cell r="B1586">
            <v>252.1604309082031</v>
          </cell>
          <cell r="C1586">
            <v>50.216259002685547</v>
          </cell>
          <cell r="D1586">
            <v>374.47561645507813</v>
          </cell>
          <cell r="E1586">
            <v>81.679374694824219</v>
          </cell>
          <cell r="F1586">
            <v>129.97132873535159</v>
          </cell>
        </row>
        <row r="1587">
          <cell r="A1587">
            <v>44454</v>
          </cell>
          <cell r="B1587">
            <v>253.93487548828119</v>
          </cell>
          <cell r="C1587">
            <v>50.768890380859382</v>
          </cell>
          <cell r="D1587">
            <v>371.87985229492188</v>
          </cell>
          <cell r="E1587">
            <v>82.946319580078125</v>
          </cell>
          <cell r="F1587">
            <v>127.30079650878911</v>
          </cell>
        </row>
        <row r="1588">
          <cell r="A1588">
            <v>44455</v>
          </cell>
          <cell r="B1588">
            <v>258.098388671875</v>
          </cell>
          <cell r="C1588">
            <v>50.501781463623047</v>
          </cell>
          <cell r="D1588">
            <v>371.0245361328125</v>
          </cell>
          <cell r="E1588">
            <v>82.492500305175781</v>
          </cell>
          <cell r="F1588">
            <v>127.4481506347656</v>
          </cell>
        </row>
        <row r="1589">
          <cell r="A1589">
            <v>44456</v>
          </cell>
          <cell r="B1589">
            <v>258.26693725585938</v>
          </cell>
          <cell r="C1589">
            <v>49.976779937744141</v>
          </cell>
          <cell r="D1589">
            <v>362.73004150390619</v>
          </cell>
          <cell r="E1589">
            <v>81.679374694824219</v>
          </cell>
          <cell r="F1589">
            <v>123.027961730957</v>
          </cell>
        </row>
        <row r="1590">
          <cell r="A1590">
            <v>44459</v>
          </cell>
          <cell r="B1590">
            <v>255.97697448730469</v>
          </cell>
          <cell r="C1590">
            <v>48.797821044921882</v>
          </cell>
          <cell r="D1590">
            <v>353.75930786132813</v>
          </cell>
          <cell r="E1590">
            <v>81.471382141113281</v>
          </cell>
          <cell r="F1590">
            <v>122.2544250488281</v>
          </cell>
        </row>
        <row r="1591">
          <cell r="A1591">
            <v>44460</v>
          </cell>
          <cell r="B1591">
            <v>255.72914123535159</v>
          </cell>
          <cell r="C1591">
            <v>48.696498870849609</v>
          </cell>
          <cell r="D1591">
            <v>355.52957153320313</v>
          </cell>
          <cell r="E1591">
            <v>82.180473327636719</v>
          </cell>
          <cell r="F1591">
            <v>121.32436370849609</v>
          </cell>
        </row>
        <row r="1592">
          <cell r="A1592">
            <v>44461</v>
          </cell>
          <cell r="B1592">
            <v>256.91876220703119</v>
          </cell>
          <cell r="C1592">
            <v>49.276767730712891</v>
          </cell>
          <cell r="D1592">
            <v>341.33740234375</v>
          </cell>
          <cell r="E1592">
            <v>83.617607116699219</v>
          </cell>
          <cell r="F1592">
            <v>122.4846649169922</v>
          </cell>
        </row>
        <row r="1593">
          <cell r="A1593">
            <v>44462</v>
          </cell>
          <cell r="B1593">
            <v>275.44638061523438</v>
          </cell>
          <cell r="C1593">
            <v>49.764930725097663</v>
          </cell>
          <cell r="D1593">
            <v>344.0723876953125</v>
          </cell>
          <cell r="E1593">
            <v>84.544158935546875</v>
          </cell>
          <cell r="F1593">
            <v>123.31346130371089</v>
          </cell>
        </row>
        <row r="1594">
          <cell r="A1594">
            <v>44463</v>
          </cell>
          <cell r="B1594">
            <v>283.14892578125</v>
          </cell>
          <cell r="C1594">
            <v>49.93994140625</v>
          </cell>
          <cell r="D1594">
            <v>351.0341796875</v>
          </cell>
          <cell r="E1594">
            <v>85.035812377929688</v>
          </cell>
          <cell r="F1594">
            <v>123.2858200073242</v>
          </cell>
        </row>
        <row r="1595">
          <cell r="A1595">
            <v>44466</v>
          </cell>
          <cell r="B1595">
            <v>277.25057983398438</v>
          </cell>
          <cell r="C1595">
            <v>50.345207214355469</v>
          </cell>
          <cell r="D1595">
            <v>351.65078735351563</v>
          </cell>
          <cell r="E1595">
            <v>86.075836181640625</v>
          </cell>
          <cell r="F1595">
            <v>122.91745758056641</v>
          </cell>
        </row>
        <row r="1596">
          <cell r="A1596">
            <v>44467</v>
          </cell>
          <cell r="B1596">
            <v>269.91488647460938</v>
          </cell>
          <cell r="C1596">
            <v>49.7373046875</v>
          </cell>
          <cell r="D1596">
            <v>338.7913818359375</v>
          </cell>
          <cell r="E1596">
            <v>85.555809020996094</v>
          </cell>
          <cell r="F1596">
            <v>119.62074279785161</v>
          </cell>
        </row>
        <row r="1597">
          <cell r="A1597">
            <v>44468</v>
          </cell>
          <cell r="B1597">
            <v>268.15032958984381</v>
          </cell>
          <cell r="C1597">
            <v>49.267559051513672</v>
          </cell>
          <cell r="D1597">
            <v>337.75701904296881</v>
          </cell>
          <cell r="E1597">
            <v>86.274391174316406</v>
          </cell>
          <cell r="F1597">
            <v>119.0498352050781</v>
          </cell>
        </row>
        <row r="1598">
          <cell r="A1598">
            <v>44469</v>
          </cell>
          <cell r="B1598">
            <v>268.86410522460938</v>
          </cell>
          <cell r="C1598">
            <v>49.074134826660163</v>
          </cell>
          <cell r="D1598">
            <v>337.53826904296881</v>
          </cell>
          <cell r="E1598">
            <v>82.3790283203125</v>
          </cell>
          <cell r="F1598">
            <v>118.773551940918</v>
          </cell>
        </row>
        <row r="1599">
          <cell r="A1599">
            <v>44470</v>
          </cell>
          <cell r="B1599">
            <v>272.86898803710938</v>
          </cell>
          <cell r="C1599">
            <v>49.608360290527337</v>
          </cell>
          <cell r="D1599">
            <v>341.13848876953119</v>
          </cell>
          <cell r="E1599">
            <v>84.846717834472656</v>
          </cell>
          <cell r="F1599">
            <v>118.5249404907227</v>
          </cell>
        </row>
        <row r="1600">
          <cell r="A1600">
            <v>44473</v>
          </cell>
          <cell r="B1600">
            <v>268.50717163085938</v>
          </cell>
          <cell r="C1600">
            <v>49.249141693115227</v>
          </cell>
          <cell r="D1600">
            <v>324.45004272460938</v>
          </cell>
          <cell r="E1600">
            <v>84.392890930175781</v>
          </cell>
          <cell r="F1600">
            <v>116.6555709838867</v>
          </cell>
        </row>
        <row r="1601">
          <cell r="A1601">
            <v>44474</v>
          </cell>
          <cell r="B1601">
            <v>269.40927124023438</v>
          </cell>
          <cell r="C1601">
            <v>49.691249847412109</v>
          </cell>
          <cell r="D1601">
            <v>331.14334106445313</v>
          </cell>
          <cell r="E1601">
            <v>86.501296997070313</v>
          </cell>
          <cell r="F1601">
            <v>117.4383010864258</v>
          </cell>
        </row>
        <row r="1602">
          <cell r="A1602">
            <v>44475</v>
          </cell>
          <cell r="B1602">
            <v>272.87887573242188</v>
          </cell>
          <cell r="C1602">
            <v>49.718879699707031</v>
          </cell>
          <cell r="D1602">
            <v>331.81964111328119</v>
          </cell>
          <cell r="E1602">
            <v>86.359474182128906</v>
          </cell>
          <cell r="F1602">
            <v>117.9263534545898</v>
          </cell>
        </row>
        <row r="1603">
          <cell r="A1603">
            <v>44476</v>
          </cell>
          <cell r="B1603">
            <v>272.19482421875</v>
          </cell>
          <cell r="C1603">
            <v>49.903091430664063</v>
          </cell>
          <cell r="D1603">
            <v>327.42376708984381</v>
          </cell>
          <cell r="E1603">
            <v>87.276573181152344</v>
          </cell>
          <cell r="F1603">
            <v>117.72377014160161</v>
          </cell>
        </row>
        <row r="1604">
          <cell r="A1604">
            <v>44477</v>
          </cell>
          <cell r="B1604">
            <v>270.11312866210938</v>
          </cell>
          <cell r="C1604">
            <v>49.562305450439453</v>
          </cell>
          <cell r="D1604">
            <v>328.24920654296881</v>
          </cell>
          <cell r="E1604">
            <v>89.553619384765625</v>
          </cell>
          <cell r="F1604">
            <v>116.53586578369141</v>
          </cell>
        </row>
        <row r="1605">
          <cell r="A1605">
            <v>44480</v>
          </cell>
          <cell r="B1605">
            <v>271.37210083007813</v>
          </cell>
          <cell r="C1605">
            <v>49.221511840820313</v>
          </cell>
          <cell r="D1605">
            <v>323.67434692382813</v>
          </cell>
          <cell r="E1605">
            <v>90.407501220703125</v>
          </cell>
          <cell r="F1605">
            <v>115.0532608032227</v>
          </cell>
        </row>
        <row r="1606">
          <cell r="A1606">
            <v>44481</v>
          </cell>
          <cell r="B1606">
            <v>276.57647705078119</v>
          </cell>
          <cell r="C1606">
            <v>48.051761627197273</v>
          </cell>
          <cell r="D1606">
            <v>322.00344848632813</v>
          </cell>
          <cell r="E1606">
            <v>90.673141479492188</v>
          </cell>
          <cell r="F1606">
            <v>113.22071838378911</v>
          </cell>
        </row>
        <row r="1607">
          <cell r="A1607">
            <v>44482</v>
          </cell>
          <cell r="B1607">
            <v>281.93948364257813</v>
          </cell>
          <cell r="C1607">
            <v>48.134651184082031</v>
          </cell>
          <cell r="D1607">
            <v>322.76925659179688</v>
          </cell>
          <cell r="E1607">
            <v>91.460617065429688</v>
          </cell>
          <cell r="F1607">
            <v>115.1453323364258</v>
          </cell>
        </row>
        <row r="1608">
          <cell r="A1608">
            <v>44483</v>
          </cell>
          <cell r="B1608">
            <v>287.50076293945313</v>
          </cell>
          <cell r="C1608">
            <v>49.645195007324219</v>
          </cell>
          <cell r="D1608">
            <v>326.73748779296881</v>
          </cell>
          <cell r="E1608">
            <v>90.398002624511719</v>
          </cell>
          <cell r="F1608">
            <v>118.4788818359375</v>
          </cell>
        </row>
        <row r="1609">
          <cell r="A1609">
            <v>44484</v>
          </cell>
          <cell r="B1609">
            <v>289.12649536132813</v>
          </cell>
          <cell r="C1609">
            <v>50.160987854003913</v>
          </cell>
          <cell r="D1609">
            <v>322.98806762695313</v>
          </cell>
          <cell r="E1609">
            <v>90.445457458496094</v>
          </cell>
          <cell r="F1609">
            <v>119.8970108032227</v>
          </cell>
        </row>
        <row r="1610">
          <cell r="A1610">
            <v>44487</v>
          </cell>
          <cell r="B1610">
            <v>289.1661376953125</v>
          </cell>
          <cell r="C1610">
            <v>50.170204162597663</v>
          </cell>
          <cell r="D1610">
            <v>333.51034545898438</v>
          </cell>
          <cell r="E1610">
            <v>91.564994812011719</v>
          </cell>
          <cell r="F1610">
            <v>119.8233642578125</v>
          </cell>
        </row>
        <row r="1611">
          <cell r="A1611">
            <v>44488</v>
          </cell>
          <cell r="B1611">
            <v>289.80062866210938</v>
          </cell>
          <cell r="C1611">
            <v>50.851791381835938</v>
          </cell>
          <cell r="D1611">
            <v>338.13497924804688</v>
          </cell>
          <cell r="E1611">
            <v>92.086807250976563</v>
          </cell>
          <cell r="F1611">
            <v>122.0150146484375</v>
          </cell>
        </row>
        <row r="1612">
          <cell r="A1612">
            <v>44489</v>
          </cell>
          <cell r="B1612">
            <v>287.57015991210938</v>
          </cell>
          <cell r="C1612">
            <v>50.999153137207031</v>
          </cell>
          <cell r="D1612">
            <v>338.920654296875</v>
          </cell>
          <cell r="E1612">
            <v>91.688331604003906</v>
          </cell>
          <cell r="F1612">
            <v>121.7019348144531</v>
          </cell>
        </row>
        <row r="1613">
          <cell r="A1613">
            <v>44490</v>
          </cell>
          <cell r="B1613">
            <v>287.2926025390625</v>
          </cell>
          <cell r="C1613">
            <v>51.579425811767578</v>
          </cell>
          <cell r="D1613">
            <v>340.01467895507813</v>
          </cell>
          <cell r="E1613">
            <v>91.365745544433594</v>
          </cell>
          <cell r="F1613">
            <v>122.521484375</v>
          </cell>
        </row>
        <row r="1614">
          <cell r="A1614">
            <v>44491</v>
          </cell>
          <cell r="B1614">
            <v>290.0186767578125</v>
          </cell>
          <cell r="C1614">
            <v>45.555683135986328</v>
          </cell>
          <cell r="D1614">
            <v>322.8388671875</v>
          </cell>
          <cell r="E1614">
            <v>93.215835571289063</v>
          </cell>
          <cell r="F1614">
            <v>121.20465087890619</v>
          </cell>
        </row>
        <row r="1615">
          <cell r="A1615">
            <v>44494</v>
          </cell>
          <cell r="B1615">
            <v>291.36688232421881</v>
          </cell>
          <cell r="C1615">
            <v>45.509632110595703</v>
          </cell>
          <cell r="D1615">
            <v>326.89663696289063</v>
          </cell>
          <cell r="E1615">
            <v>92.874282836914063</v>
          </cell>
          <cell r="F1615">
            <v>121.490104675293</v>
          </cell>
        </row>
        <row r="1616">
          <cell r="A1616">
            <v>44495</v>
          </cell>
          <cell r="B1616">
            <v>292.54653930664063</v>
          </cell>
          <cell r="C1616">
            <v>44.468830108642578</v>
          </cell>
          <cell r="D1616">
            <v>314.08685302734381</v>
          </cell>
          <cell r="E1616">
            <v>92.010910034179688</v>
          </cell>
          <cell r="F1616">
            <v>121.49932861328119</v>
          </cell>
        </row>
        <row r="1617">
          <cell r="A1617">
            <v>44496</v>
          </cell>
          <cell r="B1617">
            <v>292.58621215820313</v>
          </cell>
          <cell r="C1617">
            <v>44.109619140625</v>
          </cell>
          <cell r="D1617">
            <v>310.5164794921875</v>
          </cell>
          <cell r="E1617">
            <v>91.109573364257813</v>
          </cell>
          <cell r="F1617">
            <v>120.81788635253911</v>
          </cell>
        </row>
        <row r="1618">
          <cell r="A1618">
            <v>44497</v>
          </cell>
          <cell r="B1618">
            <v>295.78811645507813</v>
          </cell>
          <cell r="C1618">
            <v>44.284614562988281</v>
          </cell>
          <cell r="D1618">
            <v>315.19088745117188</v>
          </cell>
          <cell r="E1618">
            <v>91.299324035644531</v>
          </cell>
          <cell r="F1618">
            <v>123.11085510253911</v>
          </cell>
        </row>
        <row r="1619">
          <cell r="A1619">
            <v>44498</v>
          </cell>
          <cell r="B1619">
            <v>297.0867919921875</v>
          </cell>
          <cell r="C1619">
            <v>45.131999969482422</v>
          </cell>
          <cell r="D1619">
            <v>321.80459594726563</v>
          </cell>
          <cell r="E1619">
            <v>91.024192810058594</v>
          </cell>
          <cell r="F1619">
            <v>122.5122985839844</v>
          </cell>
        </row>
        <row r="1620">
          <cell r="A1620">
            <v>44501</v>
          </cell>
          <cell r="B1620">
            <v>300.13009643554688</v>
          </cell>
          <cell r="C1620">
            <v>45.638576507568359</v>
          </cell>
          <cell r="D1620">
            <v>328.17962646484381</v>
          </cell>
          <cell r="E1620">
            <v>89.544120788574219</v>
          </cell>
          <cell r="F1620">
            <v>124.1422119140625</v>
          </cell>
        </row>
        <row r="1621">
          <cell r="A1621">
            <v>44502</v>
          </cell>
          <cell r="B1621">
            <v>300.31845092773438</v>
          </cell>
          <cell r="C1621">
            <v>45.924106597900391</v>
          </cell>
          <cell r="D1621">
            <v>326.28994750976563</v>
          </cell>
          <cell r="E1621">
            <v>90.957786560058594</v>
          </cell>
          <cell r="F1621">
            <v>124.5289840698242</v>
          </cell>
        </row>
        <row r="1622">
          <cell r="A1622">
            <v>44503</v>
          </cell>
          <cell r="B1622">
            <v>300.25900268554688</v>
          </cell>
          <cell r="C1622">
            <v>46.412273406982422</v>
          </cell>
          <cell r="D1622">
            <v>329.81060791015619</v>
          </cell>
          <cell r="E1622">
            <v>91.223434448242188</v>
          </cell>
          <cell r="F1622">
            <v>127.521842956543</v>
          </cell>
        </row>
        <row r="1623">
          <cell r="A1623">
            <v>44504</v>
          </cell>
          <cell r="B1623">
            <v>305.3642578125</v>
          </cell>
          <cell r="C1623">
            <v>46.660839080810547</v>
          </cell>
          <cell r="D1623">
            <v>334.017578125</v>
          </cell>
          <cell r="E1623">
            <v>90.730079650878906</v>
          </cell>
          <cell r="F1623">
            <v>143.75669860839841</v>
          </cell>
        </row>
        <row r="1624">
          <cell r="A1624">
            <v>44505</v>
          </cell>
          <cell r="B1624">
            <v>304.58111572265619</v>
          </cell>
          <cell r="C1624">
            <v>47.226585388183587</v>
          </cell>
          <cell r="D1624">
            <v>339.268798828125</v>
          </cell>
          <cell r="E1624">
            <v>90.084907531738281</v>
          </cell>
          <cell r="F1624">
            <v>150.1291198730469</v>
          </cell>
        </row>
        <row r="1625">
          <cell r="A1625">
            <v>44508</v>
          </cell>
          <cell r="B1625">
            <v>307.26754760742188</v>
          </cell>
          <cell r="C1625">
            <v>47.810894012451172</v>
          </cell>
          <cell r="D1625">
            <v>336.7724609375</v>
          </cell>
          <cell r="E1625">
            <v>90.265174865722656</v>
          </cell>
          <cell r="F1625">
            <v>152.72596740722659</v>
          </cell>
        </row>
        <row r="1626">
          <cell r="A1626">
            <v>44509</v>
          </cell>
          <cell r="B1626">
            <v>307.01974487304688</v>
          </cell>
          <cell r="C1626">
            <v>47.486282348632813</v>
          </cell>
          <cell r="D1626">
            <v>333.54019165039063</v>
          </cell>
          <cell r="E1626">
            <v>89.743354797363281</v>
          </cell>
          <cell r="F1626">
            <v>153.54551696777341</v>
          </cell>
        </row>
        <row r="1627">
          <cell r="A1627">
            <v>44510</v>
          </cell>
          <cell r="B1627">
            <v>297.06698608398438</v>
          </cell>
          <cell r="C1627">
            <v>47.078193664550781</v>
          </cell>
          <cell r="D1627">
            <v>325.85238647460938</v>
          </cell>
          <cell r="E1627">
            <v>89.022315979003906</v>
          </cell>
          <cell r="F1627">
            <v>147.15473937988281</v>
          </cell>
        </row>
        <row r="1628">
          <cell r="A1628">
            <v>44511</v>
          </cell>
          <cell r="B1628">
            <v>300.34820556640619</v>
          </cell>
          <cell r="C1628">
            <v>46.864871978759773</v>
          </cell>
          <cell r="D1628">
            <v>325.9517822265625</v>
          </cell>
          <cell r="E1628">
            <v>89.221542358398438</v>
          </cell>
          <cell r="F1628">
            <v>151.40911865234381</v>
          </cell>
        </row>
        <row r="1629">
          <cell r="A1629">
            <v>44512</v>
          </cell>
          <cell r="B1629">
            <v>303.986328125</v>
          </cell>
          <cell r="C1629">
            <v>46.660839080810547</v>
          </cell>
          <cell r="D1629">
            <v>339.03009033203119</v>
          </cell>
          <cell r="E1629">
            <v>88.747169494628906</v>
          </cell>
          <cell r="F1629">
            <v>151.88795471191409</v>
          </cell>
        </row>
        <row r="1630">
          <cell r="A1630">
            <v>44515</v>
          </cell>
          <cell r="B1630">
            <v>302.83636474609381</v>
          </cell>
          <cell r="C1630">
            <v>46.670108795166023</v>
          </cell>
          <cell r="D1630">
            <v>345.66363525390619</v>
          </cell>
          <cell r="E1630">
            <v>89.202583312988281</v>
          </cell>
          <cell r="F1630">
            <v>155.17546081542969</v>
          </cell>
        </row>
        <row r="1631">
          <cell r="A1631">
            <v>44516</v>
          </cell>
          <cell r="B1631">
            <v>304.42245483398438</v>
          </cell>
          <cell r="C1631">
            <v>46.939075469970703</v>
          </cell>
          <cell r="D1631">
            <v>341.0887451171875</v>
          </cell>
          <cell r="E1631">
            <v>90.711097717285156</v>
          </cell>
          <cell r="F1631">
            <v>167.42303466796881</v>
          </cell>
        </row>
        <row r="1632">
          <cell r="A1632">
            <v>44517</v>
          </cell>
          <cell r="B1632">
            <v>305.34442138671881</v>
          </cell>
          <cell r="C1632">
            <v>46.586631774902337</v>
          </cell>
          <cell r="D1632">
            <v>338.91070556640619</v>
          </cell>
          <cell r="E1632">
            <v>90.445457458496094</v>
          </cell>
          <cell r="F1632">
            <v>169.0160827636719</v>
          </cell>
        </row>
        <row r="1633">
          <cell r="A1633">
            <v>44518</v>
          </cell>
          <cell r="B1633">
            <v>300.35806274414063</v>
          </cell>
          <cell r="C1633">
            <v>46.076526641845703</v>
          </cell>
          <cell r="D1633">
            <v>336.84207153320313</v>
          </cell>
          <cell r="E1633">
            <v>89.809791564941406</v>
          </cell>
          <cell r="F1633">
            <v>171.5761413574219</v>
          </cell>
        </row>
        <row r="1634">
          <cell r="A1634">
            <v>44519</v>
          </cell>
          <cell r="B1634">
            <v>298.55392456054688</v>
          </cell>
          <cell r="C1634">
            <v>45.928142547607422</v>
          </cell>
          <cell r="D1634">
            <v>343.41598510742188</v>
          </cell>
          <cell r="E1634">
            <v>89.155128479003906</v>
          </cell>
          <cell r="F1634">
            <v>170.36058044433591</v>
          </cell>
        </row>
        <row r="1635">
          <cell r="A1635">
            <v>44522</v>
          </cell>
          <cell r="B1635">
            <v>294.26153564453119</v>
          </cell>
          <cell r="C1635">
            <v>46.215644836425781</v>
          </cell>
          <cell r="D1635">
            <v>339.1494140625</v>
          </cell>
          <cell r="E1635">
            <v>89.762344360351563</v>
          </cell>
          <cell r="F1635">
            <v>167.04545593261719</v>
          </cell>
        </row>
        <row r="1636">
          <cell r="A1636">
            <v>44523</v>
          </cell>
          <cell r="B1636">
            <v>288.88858032226563</v>
          </cell>
          <cell r="C1636">
            <v>45.538597106933587</v>
          </cell>
          <cell r="D1636">
            <v>335.409912109375</v>
          </cell>
          <cell r="E1636">
            <v>88.177909851074219</v>
          </cell>
          <cell r="F1636">
            <v>166.62187194824219</v>
          </cell>
        </row>
        <row r="1637">
          <cell r="A1637">
            <v>44524</v>
          </cell>
          <cell r="B1637">
            <v>286.65817260742188</v>
          </cell>
          <cell r="C1637">
            <v>46.150733947753913</v>
          </cell>
          <cell r="D1637">
            <v>339.19912719726563</v>
          </cell>
          <cell r="E1637">
            <v>88.785118103027344</v>
          </cell>
          <cell r="F1637">
            <v>166.41004943847659</v>
          </cell>
        </row>
        <row r="1638">
          <cell r="A1638">
            <v>44526</v>
          </cell>
          <cell r="B1638">
            <v>281.74124145507813</v>
          </cell>
          <cell r="C1638">
            <v>45.241806030273438</v>
          </cell>
          <cell r="D1638">
            <v>331.30245971679688</v>
          </cell>
          <cell r="E1638">
            <v>87.599166870117188</v>
          </cell>
          <cell r="F1638">
            <v>161.83335876464841</v>
          </cell>
        </row>
        <row r="1639">
          <cell r="A1639">
            <v>44529</v>
          </cell>
          <cell r="B1639">
            <v>294.162353515625</v>
          </cell>
          <cell r="C1639">
            <v>46.373325347900391</v>
          </cell>
          <cell r="D1639">
            <v>336.18563842773438</v>
          </cell>
          <cell r="E1639">
            <v>88.177909851074219</v>
          </cell>
          <cell r="F1639">
            <v>169.2002868652344</v>
          </cell>
        </row>
        <row r="1640">
          <cell r="A1640">
            <v>44530</v>
          </cell>
          <cell r="B1640">
            <v>282.4847412109375</v>
          </cell>
          <cell r="C1640">
            <v>45.63134765625</v>
          </cell>
          <cell r="D1640">
            <v>322.68972778320313</v>
          </cell>
          <cell r="E1640">
            <v>86.090629577636719</v>
          </cell>
          <cell r="F1640">
            <v>166.2719421386719</v>
          </cell>
        </row>
        <row r="1641">
          <cell r="A1641">
            <v>44531</v>
          </cell>
          <cell r="B1641">
            <v>249.31536865234381</v>
          </cell>
          <cell r="C1641">
            <v>45.074867248535163</v>
          </cell>
          <cell r="D1641">
            <v>308.90536499023438</v>
          </cell>
          <cell r="E1641">
            <v>85.151344299316406</v>
          </cell>
          <cell r="F1641">
            <v>162.34344482421881</v>
          </cell>
        </row>
        <row r="1642">
          <cell r="A1642">
            <v>44532</v>
          </cell>
          <cell r="B1642">
            <v>258.93112182617188</v>
          </cell>
          <cell r="C1642">
            <v>45.909580230712891</v>
          </cell>
          <cell r="D1642">
            <v>308.69647216796881</v>
          </cell>
          <cell r="E1642">
            <v>85.379058837890625</v>
          </cell>
          <cell r="F1642">
            <v>163.63752746582031</v>
          </cell>
        </row>
        <row r="1643">
          <cell r="A1643">
            <v>44533</v>
          </cell>
          <cell r="B1643">
            <v>256.07608032226563</v>
          </cell>
          <cell r="C1643">
            <v>45.677715301513672</v>
          </cell>
          <cell r="D1643">
            <v>305.1658935546875</v>
          </cell>
          <cell r="E1643">
            <v>83.718719482421875</v>
          </cell>
          <cell r="F1643">
            <v>163.15687561035159</v>
          </cell>
        </row>
        <row r="1644">
          <cell r="A1644">
            <v>44536</v>
          </cell>
          <cell r="B1644">
            <v>256.50238037109381</v>
          </cell>
          <cell r="C1644">
            <v>47.291507720947273</v>
          </cell>
          <cell r="D1644">
            <v>316.13568115234381</v>
          </cell>
          <cell r="E1644">
            <v>84.382843017578125</v>
          </cell>
          <cell r="F1644">
            <v>162.17706298828119</v>
          </cell>
        </row>
        <row r="1645">
          <cell r="A1645">
            <v>44537</v>
          </cell>
          <cell r="B1645">
            <v>264.67080688476563</v>
          </cell>
          <cell r="C1645">
            <v>48.756912231445313</v>
          </cell>
          <cell r="D1645">
            <v>321.0487060546875</v>
          </cell>
          <cell r="E1645">
            <v>85.435997009277344</v>
          </cell>
          <cell r="F1645">
            <v>169.82142639160159</v>
          </cell>
        </row>
        <row r="1646">
          <cell r="A1646">
            <v>44538</v>
          </cell>
          <cell r="B1646">
            <v>263.9967041015625</v>
          </cell>
          <cell r="C1646">
            <v>47.996383666992188</v>
          </cell>
          <cell r="D1646">
            <v>328.75640869140619</v>
          </cell>
          <cell r="E1646">
            <v>84.382843017578125</v>
          </cell>
          <cell r="F1646">
            <v>168.81390380859381</v>
          </cell>
        </row>
        <row r="1647">
          <cell r="A1647">
            <v>44539</v>
          </cell>
          <cell r="B1647">
            <v>262.02401733398438</v>
          </cell>
          <cell r="C1647">
            <v>46.818504333496087</v>
          </cell>
          <cell r="D1647">
            <v>328.02047729492188</v>
          </cell>
          <cell r="E1647">
            <v>84.221565246582031</v>
          </cell>
          <cell r="F1647">
            <v>168.47187805175781</v>
          </cell>
        </row>
        <row r="1648">
          <cell r="A1648">
            <v>44540</v>
          </cell>
          <cell r="B1648">
            <v>263.71914672851563</v>
          </cell>
          <cell r="C1648">
            <v>46.920520782470703</v>
          </cell>
          <cell r="D1648">
            <v>327.95083618164063</v>
          </cell>
          <cell r="E1648">
            <v>97.371414184570313</v>
          </cell>
          <cell r="F1648">
            <v>169.9693298339844</v>
          </cell>
        </row>
        <row r="1649">
          <cell r="A1649">
            <v>44543</v>
          </cell>
          <cell r="B1649">
            <v>263.45150756835938</v>
          </cell>
          <cell r="C1649">
            <v>46.373325347900391</v>
          </cell>
          <cell r="D1649">
            <v>332.66497802734381</v>
          </cell>
          <cell r="E1649">
            <v>95.720565795898438</v>
          </cell>
          <cell r="F1649">
            <v>169.4516906738281</v>
          </cell>
        </row>
        <row r="1650">
          <cell r="A1650">
            <v>44544</v>
          </cell>
          <cell r="B1650">
            <v>253.36982727050781</v>
          </cell>
          <cell r="C1650">
            <v>46.095081329345703</v>
          </cell>
          <cell r="D1650">
            <v>331.9190673828125</v>
          </cell>
          <cell r="E1650">
            <v>94.771797180175781</v>
          </cell>
          <cell r="F1650">
            <v>168.2130432128906</v>
          </cell>
        </row>
        <row r="1651">
          <cell r="A1651">
            <v>44545</v>
          </cell>
          <cell r="B1651">
            <v>257.78118896484381</v>
          </cell>
          <cell r="C1651">
            <v>46.994724273681641</v>
          </cell>
          <cell r="D1651">
            <v>339.79583740234381</v>
          </cell>
          <cell r="E1651">
            <v>98.339134216308594</v>
          </cell>
          <cell r="F1651">
            <v>174.96083068847659</v>
          </cell>
        </row>
        <row r="1652">
          <cell r="A1652">
            <v>44546</v>
          </cell>
          <cell r="B1652">
            <v>250.9212951660156</v>
          </cell>
          <cell r="C1652">
            <v>47.143119812011719</v>
          </cell>
          <cell r="D1652">
            <v>333.07275390625</v>
          </cell>
          <cell r="E1652">
            <v>97.931175231933594</v>
          </cell>
          <cell r="F1652">
            <v>164.67279052734381</v>
          </cell>
        </row>
        <row r="1653">
          <cell r="A1653">
            <v>44547</v>
          </cell>
          <cell r="B1653">
            <v>250.73292541503909</v>
          </cell>
          <cell r="C1653">
            <v>46.948352813720703</v>
          </cell>
          <cell r="D1653">
            <v>331.96881103515619</v>
          </cell>
          <cell r="E1653">
            <v>91.669349670410156</v>
          </cell>
          <cell r="F1653">
            <v>163.4249267578125</v>
          </cell>
        </row>
        <row r="1654">
          <cell r="A1654">
            <v>44550</v>
          </cell>
          <cell r="B1654">
            <v>245.0626525878906</v>
          </cell>
          <cell r="C1654">
            <v>46.002330780029297</v>
          </cell>
          <cell r="D1654">
            <v>323.67434692382813</v>
          </cell>
          <cell r="E1654">
            <v>86.944503784179688</v>
          </cell>
          <cell r="F1654">
            <v>163.30476379394531</v>
          </cell>
        </row>
        <row r="1655">
          <cell r="A1655">
            <v>44551</v>
          </cell>
          <cell r="B1655">
            <v>250.3562316894531</v>
          </cell>
          <cell r="C1655">
            <v>47.087467193603523</v>
          </cell>
          <cell r="D1655">
            <v>332.37652587890619</v>
          </cell>
          <cell r="E1655">
            <v>86.821174621582031</v>
          </cell>
          <cell r="F1655">
            <v>165.99461364746091</v>
          </cell>
        </row>
        <row r="1656">
          <cell r="A1656">
            <v>44552</v>
          </cell>
          <cell r="B1656">
            <v>250.60408020019531</v>
          </cell>
          <cell r="C1656">
            <v>47.272964477539063</v>
          </cell>
          <cell r="D1656">
            <v>328.64700317382813</v>
          </cell>
          <cell r="E1656">
            <v>85.255722045898438</v>
          </cell>
          <cell r="F1656">
            <v>167.6584777832031</v>
          </cell>
        </row>
        <row r="1657">
          <cell r="A1657">
            <v>44553</v>
          </cell>
          <cell r="B1657">
            <v>250.9411315917969</v>
          </cell>
          <cell r="C1657">
            <v>47.588298797607422</v>
          </cell>
          <cell r="D1657">
            <v>333.410888671875</v>
          </cell>
          <cell r="E1657">
            <v>85.122901916503906</v>
          </cell>
          <cell r="F1657">
            <v>168.91557312011719</v>
          </cell>
        </row>
        <row r="1658">
          <cell r="A1658">
            <v>44557</v>
          </cell>
          <cell r="B1658">
            <v>256.05624389648438</v>
          </cell>
          <cell r="C1658">
            <v>48.172599792480469</v>
          </cell>
          <cell r="D1658">
            <v>344.29119873046881</v>
          </cell>
          <cell r="E1658">
            <v>84.952117919921875</v>
          </cell>
          <cell r="F1658">
            <v>172.23399353027341</v>
          </cell>
        </row>
        <row r="1659">
          <cell r="A1659">
            <v>44558</v>
          </cell>
          <cell r="B1659">
            <v>253.2310485839844</v>
          </cell>
          <cell r="C1659">
            <v>48.005661010742188</v>
          </cell>
          <cell r="D1659">
            <v>344.33096313476563</v>
          </cell>
          <cell r="E1659">
            <v>84.107711791992188</v>
          </cell>
          <cell r="F1659">
            <v>170.8382263183594</v>
          </cell>
        </row>
        <row r="1660">
          <cell r="A1660">
            <v>44559</v>
          </cell>
          <cell r="B1660">
            <v>252.3289489746094</v>
          </cell>
          <cell r="C1660">
            <v>48.070583343505859</v>
          </cell>
          <cell r="D1660">
            <v>341.06887817382813</v>
          </cell>
          <cell r="E1660">
            <v>83.690261840820313</v>
          </cell>
          <cell r="F1660">
            <v>172.11383056640619</v>
          </cell>
        </row>
        <row r="1661">
          <cell r="A1661">
            <v>44560</v>
          </cell>
          <cell r="B1661">
            <v>253.1120910644531</v>
          </cell>
          <cell r="C1661">
            <v>47.987113952636719</v>
          </cell>
          <cell r="D1661">
            <v>342.48110961914063</v>
          </cell>
          <cell r="E1661">
            <v>83.500518798828125</v>
          </cell>
          <cell r="F1661">
            <v>168.9063415527344</v>
          </cell>
        </row>
        <row r="1662">
          <cell r="A1662">
            <v>44561</v>
          </cell>
          <cell r="B1662">
            <v>251.9225158691406</v>
          </cell>
          <cell r="C1662">
            <v>47.764514923095703</v>
          </cell>
          <cell r="D1662">
            <v>334.51483154296881</v>
          </cell>
          <cell r="E1662">
            <v>82.741508483886719</v>
          </cell>
          <cell r="F1662">
            <v>169.0357360839844</v>
          </cell>
        </row>
        <row r="1663">
          <cell r="A1663">
            <v>44564</v>
          </cell>
          <cell r="B1663">
            <v>253.240966796875</v>
          </cell>
          <cell r="C1663">
            <v>49.350486755371087</v>
          </cell>
          <cell r="D1663">
            <v>336.69287109375</v>
          </cell>
          <cell r="E1663">
            <v>83.396148681640625</v>
          </cell>
          <cell r="F1663">
            <v>172.12306213378909</v>
          </cell>
        </row>
        <row r="1664">
          <cell r="A1664">
            <v>44565</v>
          </cell>
          <cell r="B1664">
            <v>246.0737609863281</v>
          </cell>
          <cell r="C1664">
            <v>49.285560607910163</v>
          </cell>
          <cell r="D1664">
            <v>334.69384765625</v>
          </cell>
          <cell r="E1664">
            <v>84.288002014160156</v>
          </cell>
          <cell r="F1664">
            <v>173.0658874511719</v>
          </cell>
        </row>
        <row r="1665">
          <cell r="A1665">
            <v>44566</v>
          </cell>
          <cell r="B1665">
            <v>225.69236755371091</v>
          </cell>
          <cell r="C1665">
            <v>49.962615966796882</v>
          </cell>
          <cell r="D1665">
            <v>322.40130615234381</v>
          </cell>
          <cell r="E1665">
            <v>82.029945373535156</v>
          </cell>
          <cell r="F1665">
            <v>172.39109802246091</v>
          </cell>
        </row>
        <row r="1666">
          <cell r="A1666">
            <v>44567</v>
          </cell>
          <cell r="B1666">
            <v>227.15950012207031</v>
          </cell>
          <cell r="C1666">
            <v>50.092460632324219</v>
          </cell>
          <cell r="D1666">
            <v>330.64605712890619</v>
          </cell>
          <cell r="E1666">
            <v>82.220382690429688</v>
          </cell>
          <cell r="F1666">
            <v>171.88275146484381</v>
          </cell>
        </row>
        <row r="1667">
          <cell r="A1667">
            <v>44568</v>
          </cell>
          <cell r="B1667">
            <v>226.32679748535159</v>
          </cell>
          <cell r="C1667">
            <v>49.563808441162109</v>
          </cell>
          <cell r="D1667">
            <v>329.97970581054688</v>
          </cell>
          <cell r="E1667">
            <v>83.334548950195313</v>
          </cell>
          <cell r="F1667">
            <v>166.76182556152341</v>
          </cell>
        </row>
        <row r="1668">
          <cell r="A1668">
            <v>44571</v>
          </cell>
          <cell r="B1668">
            <v>227.6353454589844</v>
          </cell>
          <cell r="C1668">
            <v>51.205425262451172</v>
          </cell>
          <cell r="D1668">
            <v>326.280029296875</v>
          </cell>
          <cell r="E1668">
            <v>85.020111083984375</v>
          </cell>
          <cell r="F1668">
            <v>166.08705139160159</v>
          </cell>
        </row>
        <row r="1669">
          <cell r="A1669">
            <v>44572</v>
          </cell>
          <cell r="B1669">
            <v>232.80006408691409</v>
          </cell>
          <cell r="C1669">
            <v>51.854648590087891</v>
          </cell>
          <cell r="D1669">
            <v>332.54562377929688</v>
          </cell>
          <cell r="E1669">
            <v>84.258285522460938</v>
          </cell>
          <cell r="F1669">
            <v>171.3743591308594</v>
          </cell>
        </row>
        <row r="1670">
          <cell r="A1670">
            <v>44573</v>
          </cell>
          <cell r="B1670">
            <v>235.76409912109381</v>
          </cell>
          <cell r="C1670">
            <v>51.696979522705078</v>
          </cell>
          <cell r="D1670">
            <v>331.44171142578119</v>
          </cell>
          <cell r="E1670">
            <v>84.096397399902344</v>
          </cell>
          <cell r="F1670">
            <v>172.31719970703119</v>
          </cell>
        </row>
        <row r="1671">
          <cell r="A1671">
            <v>44574</v>
          </cell>
          <cell r="B1671">
            <v>226.64402770996091</v>
          </cell>
          <cell r="C1671">
            <v>50.955001831054688</v>
          </cell>
          <cell r="D1671">
            <v>324.69869995117188</v>
          </cell>
          <cell r="E1671">
            <v>83.601203918457031</v>
          </cell>
          <cell r="F1671">
            <v>169.97856140136719</v>
          </cell>
        </row>
        <row r="1672">
          <cell r="A1672">
            <v>44575</v>
          </cell>
          <cell r="B1672">
            <v>229.221435546875</v>
          </cell>
          <cell r="C1672">
            <v>51.659873962402337</v>
          </cell>
          <cell r="D1672">
            <v>330.08908081054688</v>
          </cell>
          <cell r="E1672">
            <v>83.505996704101563</v>
          </cell>
          <cell r="F1672">
            <v>174.41545104980469</v>
          </cell>
        </row>
        <row r="1673">
          <cell r="A1673">
            <v>44579</v>
          </cell>
          <cell r="B1673">
            <v>224.0963439941406</v>
          </cell>
          <cell r="C1673">
            <v>50.788055419921882</v>
          </cell>
          <cell r="D1673">
            <v>316.41412353515619</v>
          </cell>
          <cell r="E1673">
            <v>81.468086242675781</v>
          </cell>
          <cell r="F1673">
            <v>165.32911682128909</v>
          </cell>
        </row>
        <row r="1674">
          <cell r="A1674">
            <v>44580</v>
          </cell>
          <cell r="B1674">
            <v>224.3045349121094</v>
          </cell>
          <cell r="C1674">
            <v>49.730751037597663</v>
          </cell>
          <cell r="D1674">
            <v>317.84625244140619</v>
          </cell>
          <cell r="E1674">
            <v>79.401611328125</v>
          </cell>
          <cell r="F1674">
            <v>159.42253112792969</v>
          </cell>
        </row>
        <row r="1675">
          <cell r="A1675">
            <v>44581</v>
          </cell>
          <cell r="B1675">
            <v>221.0034484863281</v>
          </cell>
          <cell r="C1675">
            <v>48.265357971191413</v>
          </cell>
          <cell r="D1675">
            <v>314.83279418945313</v>
          </cell>
          <cell r="E1675">
            <v>78.773117065429688</v>
          </cell>
          <cell r="F1675">
            <v>153.90412902832031</v>
          </cell>
        </row>
        <row r="1676">
          <cell r="A1676">
            <v>44582</v>
          </cell>
          <cell r="B1676">
            <v>216.73089599609381</v>
          </cell>
          <cell r="C1676">
            <v>48.265357971191413</v>
          </cell>
          <cell r="D1676">
            <v>301.515869140625</v>
          </cell>
          <cell r="E1676">
            <v>78.296966552734375</v>
          </cell>
          <cell r="F1676">
            <v>152.4529113769531</v>
          </cell>
        </row>
        <row r="1677">
          <cell r="A1677">
            <v>44585</v>
          </cell>
          <cell r="B1677">
            <v>221.0926513671875</v>
          </cell>
          <cell r="C1677">
            <v>48.172599792480469</v>
          </cell>
          <cell r="D1677">
            <v>307.025634765625</v>
          </cell>
          <cell r="E1677">
            <v>78.487419128417969</v>
          </cell>
          <cell r="F1677">
            <v>157.2040710449219</v>
          </cell>
        </row>
        <row r="1678">
          <cell r="A1678">
            <v>44586</v>
          </cell>
          <cell r="B1678">
            <v>213.5190124511719</v>
          </cell>
          <cell r="C1678">
            <v>47.300788879394531</v>
          </cell>
          <cell r="D1678">
            <v>298.51229858398438</v>
          </cell>
          <cell r="E1678">
            <v>77.201828002929688</v>
          </cell>
          <cell r="F1678">
            <v>152.93357849121091</v>
          </cell>
        </row>
        <row r="1679">
          <cell r="A1679">
            <v>44587</v>
          </cell>
          <cell r="B1679">
            <v>209.16717529296881</v>
          </cell>
          <cell r="C1679">
            <v>47.940738677978523</v>
          </cell>
          <cell r="D1679">
            <v>293.0224609375</v>
          </cell>
          <cell r="E1679">
            <v>75.792449951171875</v>
          </cell>
          <cell r="F1679">
            <v>154.3663024902344</v>
          </cell>
        </row>
        <row r="1680">
          <cell r="A1680">
            <v>44588</v>
          </cell>
          <cell r="B1680">
            <v>210.8920593261719</v>
          </cell>
          <cell r="C1680">
            <v>44.56475830078125</v>
          </cell>
          <cell r="D1680">
            <v>293.03240966796881</v>
          </cell>
          <cell r="E1680">
            <v>75.973396301269531</v>
          </cell>
          <cell r="F1680">
            <v>149.0050964355469</v>
          </cell>
        </row>
        <row r="1681">
          <cell r="A1681">
            <v>44589</v>
          </cell>
          <cell r="B1681">
            <v>220.20048522949219</v>
          </cell>
          <cell r="C1681">
            <v>44.267967224121087</v>
          </cell>
          <cell r="D1681">
            <v>300.0638427734375</v>
          </cell>
          <cell r="E1681">
            <v>76.639999389648438</v>
          </cell>
          <cell r="F1681">
            <v>154.1907043457031</v>
          </cell>
        </row>
        <row r="1682">
          <cell r="A1682">
            <v>44592</v>
          </cell>
          <cell r="B1682">
            <v>230.60926818847659</v>
          </cell>
          <cell r="C1682">
            <v>45.278911590576172</v>
          </cell>
          <cell r="D1682">
            <v>311.55081176757813</v>
          </cell>
          <cell r="E1682">
            <v>77.287551879882813</v>
          </cell>
          <cell r="F1682">
            <v>162.463623046875</v>
          </cell>
        </row>
        <row r="1683">
          <cell r="A1683">
            <v>44593</v>
          </cell>
          <cell r="B1683">
            <v>230.10369873046881</v>
          </cell>
          <cell r="C1683">
            <v>45.399482727050781</v>
          </cell>
          <cell r="D1683">
            <v>317.25949096679688</v>
          </cell>
          <cell r="E1683">
            <v>77.17327880859375</v>
          </cell>
          <cell r="F1683">
            <v>163.72999572753909</v>
          </cell>
        </row>
        <row r="1684">
          <cell r="A1684">
            <v>44594</v>
          </cell>
          <cell r="B1684">
            <v>223.05546569824219</v>
          </cell>
          <cell r="C1684">
            <v>45.918857574462891</v>
          </cell>
          <cell r="D1684">
            <v>321.2376708984375</v>
          </cell>
          <cell r="E1684">
            <v>78.563613891601563</v>
          </cell>
          <cell r="F1684">
            <v>173.96250915527341</v>
          </cell>
        </row>
        <row r="1685">
          <cell r="A1685">
            <v>44595</v>
          </cell>
          <cell r="B1685">
            <v>210.92179870605469</v>
          </cell>
          <cell r="C1685">
            <v>44.778076171875</v>
          </cell>
          <cell r="D1685">
            <v>236.4627380371094</v>
          </cell>
          <cell r="E1685">
            <v>78.030342102050781</v>
          </cell>
          <cell r="F1685">
            <v>165.55094909667969</v>
          </cell>
        </row>
        <row r="1686">
          <cell r="A1686">
            <v>44596</v>
          </cell>
          <cell r="B1686">
            <v>217.32568359375</v>
          </cell>
          <cell r="C1686">
            <v>44.866851806640618</v>
          </cell>
          <cell r="D1686">
            <v>235.7964172363281</v>
          </cell>
          <cell r="E1686">
            <v>78.192222595214844</v>
          </cell>
          <cell r="F1686">
            <v>165.8929443359375</v>
          </cell>
        </row>
        <row r="1687">
          <cell r="A1687">
            <v>44599</v>
          </cell>
          <cell r="B1687">
            <v>215.0852966308594</v>
          </cell>
          <cell r="C1687">
            <v>45.025726318359382</v>
          </cell>
          <cell r="D1687">
            <v>223.682861328125</v>
          </cell>
          <cell r="E1687">
            <v>76.887588500976563</v>
          </cell>
          <cell r="F1687">
            <v>161.84429931640619</v>
          </cell>
        </row>
        <row r="1688">
          <cell r="A1688">
            <v>44600</v>
          </cell>
          <cell r="B1688">
            <v>215.5412902832031</v>
          </cell>
          <cell r="C1688">
            <v>45.614486694335938</v>
          </cell>
          <cell r="D1688">
            <v>218.97865295410159</v>
          </cell>
          <cell r="E1688">
            <v>76.935226440429688</v>
          </cell>
          <cell r="F1688">
            <v>165.07954406738281</v>
          </cell>
        </row>
        <row r="1689">
          <cell r="A1689">
            <v>44601</v>
          </cell>
          <cell r="B1689">
            <v>220.11125183105469</v>
          </cell>
          <cell r="C1689">
            <v>46.642467498779297</v>
          </cell>
          <cell r="D1689">
            <v>230.7341613769531</v>
          </cell>
          <cell r="E1689">
            <v>79.468276977539063</v>
          </cell>
          <cell r="F1689">
            <v>170.0340576171875</v>
          </cell>
        </row>
        <row r="1690">
          <cell r="A1690">
            <v>44602</v>
          </cell>
          <cell r="B1690">
            <v>215.77922058105469</v>
          </cell>
          <cell r="C1690">
            <v>45.661205291748047</v>
          </cell>
          <cell r="D1690">
            <v>226.82562255859381</v>
          </cell>
          <cell r="E1690">
            <v>77.944633483886719</v>
          </cell>
          <cell r="F1690">
            <v>160.90144348144531</v>
          </cell>
        </row>
        <row r="1691">
          <cell r="A1691">
            <v>44603</v>
          </cell>
          <cell r="B1691">
            <v>206.09407043457031</v>
          </cell>
          <cell r="C1691">
            <v>44.511734008789063</v>
          </cell>
          <cell r="D1691">
            <v>218.35211181640619</v>
          </cell>
          <cell r="E1691">
            <v>75.94482421875</v>
          </cell>
          <cell r="F1691">
            <v>152.18487548828119</v>
          </cell>
        </row>
        <row r="1692">
          <cell r="A1692">
            <v>44606</v>
          </cell>
          <cell r="B1692">
            <v>204.60710144042969</v>
          </cell>
          <cell r="C1692">
            <v>44.465003967285163</v>
          </cell>
          <cell r="D1692">
            <v>216.51220703125</v>
          </cell>
          <cell r="E1692">
            <v>75.1829833984375</v>
          </cell>
          <cell r="F1692">
            <v>152.6377868652344</v>
          </cell>
        </row>
        <row r="1693">
          <cell r="A1693">
            <v>44607</v>
          </cell>
          <cell r="B1693">
            <v>212.388916015625</v>
          </cell>
          <cell r="C1693">
            <v>45.268703460693359</v>
          </cell>
          <cell r="D1693">
            <v>219.79420471191409</v>
          </cell>
          <cell r="E1693">
            <v>75.9638671875</v>
          </cell>
          <cell r="F1693">
            <v>159.91241455078119</v>
          </cell>
        </row>
        <row r="1694">
          <cell r="A1694">
            <v>44608</v>
          </cell>
          <cell r="B1694">
            <v>209.90074157714841</v>
          </cell>
          <cell r="C1694">
            <v>45.07244873046875</v>
          </cell>
          <cell r="D1694">
            <v>215.35850524902341</v>
          </cell>
          <cell r="E1694">
            <v>75.411544799804688</v>
          </cell>
          <cell r="F1694">
            <v>159.5426940917969</v>
          </cell>
        </row>
        <row r="1695">
          <cell r="A1695">
            <v>44609</v>
          </cell>
          <cell r="B1695">
            <v>198.29246520996091</v>
          </cell>
          <cell r="C1695">
            <v>44.455661773681641</v>
          </cell>
          <cell r="D1695">
            <v>206.57670593261719</v>
          </cell>
          <cell r="E1695">
            <v>71.926177978515625</v>
          </cell>
          <cell r="F1695">
            <v>154.18147277832031</v>
          </cell>
        </row>
        <row r="1696">
          <cell r="A1696">
            <v>44610</v>
          </cell>
          <cell r="B1696">
            <v>195.1301574707031</v>
          </cell>
          <cell r="C1696">
            <v>42.091300964355469</v>
          </cell>
          <cell r="D1696">
            <v>205.0351867675781</v>
          </cell>
          <cell r="E1696">
            <v>71.011962890625</v>
          </cell>
          <cell r="F1696">
            <v>154.95793151855469</v>
          </cell>
        </row>
        <row r="1697">
          <cell r="A1697">
            <v>44614</v>
          </cell>
          <cell r="B1697">
            <v>193.43501281738281</v>
          </cell>
          <cell r="C1697">
            <v>41.764213562011719</v>
          </cell>
          <cell r="D1697">
            <v>200.97743225097659</v>
          </cell>
          <cell r="E1697">
            <v>70.583450317382813</v>
          </cell>
          <cell r="F1697">
            <v>153.34028625488281</v>
          </cell>
        </row>
        <row r="1698">
          <cell r="A1698">
            <v>44615</v>
          </cell>
          <cell r="B1698">
            <v>188.8848876953125</v>
          </cell>
          <cell r="C1698">
            <v>41.726833343505859</v>
          </cell>
          <cell r="D1698">
            <v>197.36723327636719</v>
          </cell>
          <cell r="E1698">
            <v>69.012176513671875</v>
          </cell>
          <cell r="F1698">
            <v>149.393310546875</v>
          </cell>
        </row>
        <row r="1699">
          <cell r="A1699">
            <v>44616</v>
          </cell>
          <cell r="B1699">
            <v>202.51544189453119</v>
          </cell>
          <cell r="C1699">
            <v>43.661312103271477</v>
          </cell>
          <cell r="D1699">
            <v>206.4673156738281</v>
          </cell>
          <cell r="E1699">
            <v>71.24053955078125</v>
          </cell>
          <cell r="F1699">
            <v>155.2721862792969</v>
          </cell>
        </row>
        <row r="1700">
          <cell r="A1700">
            <v>44617</v>
          </cell>
          <cell r="B1700">
            <v>206.2824401855469</v>
          </cell>
          <cell r="C1700">
            <v>44.586494445800781</v>
          </cell>
          <cell r="D1700">
            <v>209.33160400390619</v>
          </cell>
          <cell r="E1700">
            <v>72.707054138183594</v>
          </cell>
          <cell r="F1700">
            <v>157.99900817871091</v>
          </cell>
        </row>
        <row r="1701">
          <cell r="A1701">
            <v>44620</v>
          </cell>
          <cell r="B1701">
            <v>208.70124816894531</v>
          </cell>
          <cell r="C1701">
            <v>44.577159881591797</v>
          </cell>
          <cell r="D1701">
            <v>209.87860107421881</v>
          </cell>
          <cell r="E1701">
            <v>72.345191955566406</v>
          </cell>
          <cell r="F1701">
            <v>158.97882080078119</v>
          </cell>
        </row>
        <row r="1702">
          <cell r="A1702">
            <v>44621</v>
          </cell>
          <cell r="B1702">
            <v>207.07548522949219</v>
          </cell>
          <cell r="C1702">
            <v>43.754764556884773</v>
          </cell>
          <cell r="D1702">
            <v>202.3797302246094</v>
          </cell>
          <cell r="E1702">
            <v>72.383285522460938</v>
          </cell>
          <cell r="F1702">
            <v>151.30674743652341</v>
          </cell>
        </row>
        <row r="1703">
          <cell r="A1703">
            <v>44622</v>
          </cell>
          <cell r="B1703">
            <v>208.56245422363281</v>
          </cell>
          <cell r="C1703">
            <v>45.670558929443359</v>
          </cell>
          <cell r="D1703">
            <v>206.9745178222656</v>
          </cell>
          <cell r="E1703">
            <v>74.544967651367188</v>
          </cell>
          <cell r="F1703">
            <v>157.09873962402341</v>
          </cell>
        </row>
        <row r="1704">
          <cell r="A1704">
            <v>44623</v>
          </cell>
          <cell r="B1704">
            <v>202.97148132324219</v>
          </cell>
          <cell r="C1704">
            <v>44.792091369628913</v>
          </cell>
          <cell r="D1704">
            <v>201.8625793457031</v>
          </cell>
          <cell r="E1704">
            <v>74.516395568847656</v>
          </cell>
          <cell r="F1704">
            <v>153.47874450683591</v>
          </cell>
        </row>
        <row r="1705">
          <cell r="A1705">
            <v>44624</v>
          </cell>
          <cell r="B1705">
            <v>201.2465515136719</v>
          </cell>
          <cell r="C1705">
            <v>44.922931671142578</v>
          </cell>
          <cell r="D1705">
            <v>198.96844482421881</v>
          </cell>
          <cell r="E1705">
            <v>72.840370178222656</v>
          </cell>
          <cell r="F1705">
            <v>150.61053466796881</v>
          </cell>
        </row>
        <row r="1706">
          <cell r="A1706">
            <v>44627</v>
          </cell>
          <cell r="B1706">
            <v>194.52545166015619</v>
          </cell>
          <cell r="C1706">
            <v>44.558460235595703</v>
          </cell>
          <cell r="D1706">
            <v>186.4471435546875</v>
          </cell>
          <cell r="E1706">
            <v>70.773918151855469</v>
          </cell>
          <cell r="F1706">
            <v>139.32359313964841</v>
          </cell>
        </row>
        <row r="1707">
          <cell r="A1707">
            <v>44628</v>
          </cell>
          <cell r="B1707">
            <v>190.41151428222659</v>
          </cell>
          <cell r="C1707">
            <v>44.390247344970703</v>
          </cell>
          <cell r="D1707">
            <v>189.2517395019531</v>
          </cell>
          <cell r="E1707">
            <v>69.831146240234375</v>
          </cell>
          <cell r="F1707">
            <v>139.93621826171881</v>
          </cell>
        </row>
        <row r="1708">
          <cell r="A1708">
            <v>44629</v>
          </cell>
          <cell r="B1708">
            <v>201.39527893066409</v>
          </cell>
          <cell r="C1708">
            <v>44.511734008789063</v>
          </cell>
          <cell r="D1708">
            <v>197.41694641113281</v>
          </cell>
          <cell r="E1708">
            <v>72.468963623046875</v>
          </cell>
          <cell r="F1708">
            <v>145.830322265625</v>
          </cell>
        </row>
        <row r="1709">
          <cell r="A1709">
            <v>44630</v>
          </cell>
          <cell r="B1709">
            <v>198.41139221191409</v>
          </cell>
          <cell r="C1709">
            <v>43.605239868164063</v>
          </cell>
          <cell r="D1709">
            <v>194.14491271972659</v>
          </cell>
          <cell r="E1709">
            <v>72.992744445800781</v>
          </cell>
          <cell r="F1709">
            <v>143.60264587402341</v>
          </cell>
        </row>
        <row r="1710">
          <cell r="A1710">
            <v>44631</v>
          </cell>
          <cell r="B1710">
            <v>196.1809387207031</v>
          </cell>
          <cell r="C1710">
            <v>42.829582214355469</v>
          </cell>
          <cell r="D1710">
            <v>186.58638000488281</v>
          </cell>
          <cell r="E1710">
            <v>74.106910705566406</v>
          </cell>
          <cell r="F1710">
            <v>141.40277099609381</v>
          </cell>
        </row>
        <row r="1711">
          <cell r="A1711">
            <v>44634</v>
          </cell>
          <cell r="B1711">
            <v>191.4424743652344</v>
          </cell>
          <cell r="C1711">
            <v>41.493202209472663</v>
          </cell>
          <cell r="D1711">
            <v>185.6117248535156</v>
          </cell>
          <cell r="E1711">
            <v>73.392692565917969</v>
          </cell>
          <cell r="F1711">
            <v>131.14610290527341</v>
          </cell>
        </row>
        <row r="1712">
          <cell r="A1712">
            <v>44635</v>
          </cell>
          <cell r="B1712">
            <v>194.4362487792969</v>
          </cell>
          <cell r="C1712">
            <v>41.876361846923828</v>
          </cell>
          <cell r="D1712">
            <v>190.98225402832031</v>
          </cell>
          <cell r="E1712">
            <v>76.754264831542969</v>
          </cell>
          <cell r="F1712">
            <v>133.85649108886719</v>
          </cell>
        </row>
        <row r="1713">
          <cell r="A1713">
            <v>44636</v>
          </cell>
          <cell r="B1713">
            <v>203.7843322753906</v>
          </cell>
          <cell r="C1713">
            <v>43.577201843261719</v>
          </cell>
          <cell r="D1713">
            <v>202.51896667480469</v>
          </cell>
          <cell r="E1713">
            <v>76.144805908203125</v>
          </cell>
          <cell r="F1713">
            <v>139.64845275878909</v>
          </cell>
        </row>
        <row r="1714">
          <cell r="A1714">
            <v>44637</v>
          </cell>
          <cell r="B1714">
            <v>208.58229064941409</v>
          </cell>
          <cell r="C1714">
            <v>44.053821563720703</v>
          </cell>
          <cell r="D1714">
            <v>206.70600891113281</v>
          </cell>
          <cell r="E1714">
            <v>76.754264831542969</v>
          </cell>
          <cell r="F1714">
            <v>141.85760498046881</v>
          </cell>
        </row>
        <row r="1715">
          <cell r="A1715">
            <v>44638</v>
          </cell>
          <cell r="B1715">
            <v>216.8994140625</v>
          </cell>
          <cell r="C1715">
            <v>44.343517303466797</v>
          </cell>
          <cell r="D1715">
            <v>215.3088073730469</v>
          </cell>
          <cell r="E1715">
            <v>77.782760620117188</v>
          </cell>
          <cell r="F1715">
            <v>142.93434143066409</v>
          </cell>
        </row>
        <row r="1716">
          <cell r="A1716">
            <v>44641</v>
          </cell>
          <cell r="B1716">
            <v>211.8635559082031</v>
          </cell>
          <cell r="C1716">
            <v>44.287448883056641</v>
          </cell>
          <cell r="D1716">
            <v>210.33610534667969</v>
          </cell>
          <cell r="E1716">
            <v>77.097099304199219</v>
          </cell>
          <cell r="F1716">
            <v>144.41944885253909</v>
          </cell>
        </row>
        <row r="1717">
          <cell r="A1717">
            <v>44642</v>
          </cell>
          <cell r="B1717">
            <v>216.3145446777344</v>
          </cell>
          <cell r="C1717">
            <v>45.221977233886719</v>
          </cell>
          <cell r="D1717">
            <v>215.4679260253906</v>
          </cell>
          <cell r="E1717">
            <v>77.897026062011719</v>
          </cell>
          <cell r="F1717">
            <v>146.29444885253909</v>
          </cell>
        </row>
        <row r="1718">
          <cell r="A1718">
            <v>44643</v>
          </cell>
          <cell r="B1718">
            <v>209.27618408203119</v>
          </cell>
          <cell r="C1718">
            <v>45.109836578369141</v>
          </cell>
          <cell r="D1718">
            <v>212.29533386230469</v>
          </cell>
          <cell r="E1718">
            <v>76.554283142089844</v>
          </cell>
          <cell r="F1718">
            <v>141.8947448730469</v>
          </cell>
        </row>
        <row r="1719">
          <cell r="A1719">
            <v>44644</v>
          </cell>
          <cell r="B1719">
            <v>212.12126159667969</v>
          </cell>
          <cell r="C1719">
            <v>48.240520477294922</v>
          </cell>
          <cell r="D1719">
            <v>218.37200927734381</v>
          </cell>
          <cell r="E1719">
            <v>78.316017150878906</v>
          </cell>
          <cell r="F1719">
            <v>147.0833740234375</v>
          </cell>
        </row>
        <row r="1720">
          <cell r="A1720">
            <v>44645</v>
          </cell>
          <cell r="B1720">
            <v>209.1968994140625</v>
          </cell>
          <cell r="C1720">
            <v>48.436767578125</v>
          </cell>
          <cell r="D1720">
            <v>220.60972595214841</v>
          </cell>
          <cell r="E1720">
            <v>77.830360412597656</v>
          </cell>
          <cell r="F1720">
            <v>146.62855529785159</v>
          </cell>
        </row>
        <row r="1721">
          <cell r="A1721">
            <v>44648</v>
          </cell>
          <cell r="B1721">
            <v>213.40997314453119</v>
          </cell>
          <cell r="C1721">
            <v>48.137718200683587</v>
          </cell>
          <cell r="D1721">
            <v>222.37005615234381</v>
          </cell>
          <cell r="E1721">
            <v>79.611129760742188</v>
          </cell>
          <cell r="F1721">
            <v>147.07411193847659</v>
          </cell>
        </row>
        <row r="1722">
          <cell r="A1722">
            <v>44649</v>
          </cell>
          <cell r="B1722">
            <v>219.36778259277341</v>
          </cell>
          <cell r="C1722">
            <v>48.829273223876953</v>
          </cell>
          <cell r="D1722">
            <v>228.60585021972659</v>
          </cell>
          <cell r="E1722">
            <v>80.268180847167969</v>
          </cell>
          <cell r="F1722">
            <v>149.50602722167969</v>
          </cell>
        </row>
        <row r="1723">
          <cell r="A1723">
            <v>44650</v>
          </cell>
          <cell r="B1723">
            <v>213.07292175292969</v>
          </cell>
          <cell r="C1723">
            <v>48.062953948974609</v>
          </cell>
          <cell r="D1723">
            <v>226.6068115234375</v>
          </cell>
          <cell r="E1723">
            <v>79.382583618164063</v>
          </cell>
          <cell r="F1723">
            <v>141.7647705078125</v>
          </cell>
        </row>
        <row r="1724">
          <cell r="A1724">
            <v>44651</v>
          </cell>
          <cell r="B1724">
            <v>210.4757080078125</v>
          </cell>
          <cell r="C1724">
            <v>46.315383911132813</v>
          </cell>
          <cell r="D1724">
            <v>221.1467590332031</v>
          </cell>
          <cell r="E1724">
            <v>78.78265380859375</v>
          </cell>
          <cell r="F1724">
            <v>141.84832763671881</v>
          </cell>
        </row>
        <row r="1725">
          <cell r="A1725">
            <v>44652</v>
          </cell>
          <cell r="B1725">
            <v>210.40629577636719</v>
          </cell>
          <cell r="C1725">
            <v>44.960311889648438</v>
          </cell>
          <cell r="D1725">
            <v>223.6231994628906</v>
          </cell>
          <cell r="E1725">
            <v>78.096992492675781</v>
          </cell>
          <cell r="F1725">
            <v>136.43687438964841</v>
          </cell>
        </row>
        <row r="1726">
          <cell r="A1726">
            <v>44655</v>
          </cell>
          <cell r="B1726">
            <v>216.948974609375</v>
          </cell>
          <cell r="C1726">
            <v>45.978954315185547</v>
          </cell>
          <cell r="D1726">
            <v>232.61384582519531</v>
          </cell>
          <cell r="E1726">
            <v>80.0587158203125</v>
          </cell>
          <cell r="F1726">
            <v>142.7672119140625</v>
          </cell>
        </row>
        <row r="1727">
          <cell r="A1727">
            <v>44656</v>
          </cell>
          <cell r="B1727">
            <v>208.31463623046881</v>
          </cell>
          <cell r="C1727">
            <v>44.97900390625</v>
          </cell>
          <cell r="D1727">
            <v>230.5750427246094</v>
          </cell>
          <cell r="E1727">
            <v>78.982627868652344</v>
          </cell>
          <cell r="F1727">
            <v>135.01673889160159</v>
          </cell>
        </row>
        <row r="1728">
          <cell r="A1728">
            <v>44657</v>
          </cell>
          <cell r="B1728">
            <v>199.07560729980469</v>
          </cell>
          <cell r="C1728">
            <v>44.427627563476563</v>
          </cell>
          <cell r="D1728">
            <v>222.08164978027341</v>
          </cell>
          <cell r="E1728">
            <v>78.201751708984375</v>
          </cell>
          <cell r="F1728">
            <v>129.28041076660159</v>
          </cell>
        </row>
        <row r="1729">
          <cell r="A1729">
            <v>44658</v>
          </cell>
          <cell r="B1729">
            <v>198.42131042480469</v>
          </cell>
          <cell r="C1729">
            <v>44.446323394775391</v>
          </cell>
          <cell r="D1729">
            <v>221.7335510253906</v>
          </cell>
          <cell r="E1729">
            <v>77.95318603515625</v>
          </cell>
          <cell r="F1729">
            <v>129.2247314453125</v>
          </cell>
        </row>
        <row r="1730">
          <cell r="A1730">
            <v>44659</v>
          </cell>
          <cell r="B1730">
            <v>195.4573059082031</v>
          </cell>
          <cell r="C1730">
            <v>43.941669464111328</v>
          </cell>
          <cell r="D1730">
            <v>221.11692810058591</v>
          </cell>
          <cell r="E1730">
            <v>77.379585266113281</v>
          </cell>
          <cell r="F1730">
            <v>126.8763732910156</v>
          </cell>
        </row>
        <row r="1731">
          <cell r="A1731">
            <v>44662</v>
          </cell>
          <cell r="B1731">
            <v>193.7522277832031</v>
          </cell>
          <cell r="C1731">
            <v>43.521133422851563</v>
          </cell>
          <cell r="D1731">
            <v>215.2789611816406</v>
          </cell>
          <cell r="E1731">
            <v>76.251480102539063</v>
          </cell>
          <cell r="F1731">
            <v>125.6418533325195</v>
          </cell>
        </row>
        <row r="1732">
          <cell r="A1732">
            <v>44663</v>
          </cell>
          <cell r="B1732">
            <v>193.1177978515625</v>
          </cell>
          <cell r="C1732">
            <v>43.455715179443359</v>
          </cell>
          <cell r="D1732">
            <v>212.97161865234381</v>
          </cell>
          <cell r="E1732">
            <v>75.840400695800781</v>
          </cell>
          <cell r="F1732">
            <v>126.3194046020508</v>
          </cell>
        </row>
        <row r="1733">
          <cell r="A1733">
            <v>44664</v>
          </cell>
          <cell r="B1733">
            <v>194.0198974609375</v>
          </cell>
          <cell r="C1733">
            <v>43.932327270507813</v>
          </cell>
          <cell r="D1733">
            <v>213.81700134277341</v>
          </cell>
          <cell r="E1733">
            <v>76.241928100585938</v>
          </cell>
          <cell r="F1733">
            <v>130.41282653808591</v>
          </cell>
        </row>
        <row r="1734">
          <cell r="A1734">
            <v>44665</v>
          </cell>
          <cell r="B1734">
            <v>187.76469421386719</v>
          </cell>
          <cell r="C1734">
            <v>42.6800537109375</v>
          </cell>
          <cell r="D1734">
            <v>209.03324890136719</v>
          </cell>
          <cell r="E1734">
            <v>75.955123901367188</v>
          </cell>
          <cell r="F1734">
            <v>127.0805740356445</v>
          </cell>
        </row>
        <row r="1735">
          <cell r="A1735">
            <v>44669</v>
          </cell>
          <cell r="B1735">
            <v>185.3855285644531</v>
          </cell>
          <cell r="C1735">
            <v>43.586540222167969</v>
          </cell>
          <cell r="D1735">
            <v>209.6200256347656</v>
          </cell>
          <cell r="E1735">
            <v>74.779212951660156</v>
          </cell>
          <cell r="F1735">
            <v>129.31755065917969</v>
          </cell>
        </row>
        <row r="1736">
          <cell r="A1736">
            <v>44670</v>
          </cell>
          <cell r="B1736">
            <v>189.72749328613281</v>
          </cell>
          <cell r="C1736">
            <v>44.792091369628913</v>
          </cell>
          <cell r="D1736">
            <v>216.12432861328119</v>
          </cell>
          <cell r="E1736">
            <v>76.060256958007813</v>
          </cell>
          <cell r="F1736">
            <v>130.92333984375</v>
          </cell>
        </row>
        <row r="1737">
          <cell r="A1737">
            <v>44671</v>
          </cell>
          <cell r="B1737">
            <v>184.61231994628909</v>
          </cell>
          <cell r="C1737">
            <v>44.960311889648438</v>
          </cell>
          <cell r="D1737">
            <v>199.32646179199219</v>
          </cell>
          <cell r="E1737">
            <v>76.758171081542969</v>
          </cell>
          <cell r="F1737">
            <v>130.2642822265625</v>
          </cell>
        </row>
        <row r="1738">
          <cell r="A1738">
            <v>44672</v>
          </cell>
          <cell r="B1738">
            <v>175.6905212402344</v>
          </cell>
          <cell r="C1738">
            <v>44.390247344970703</v>
          </cell>
          <cell r="D1738">
            <v>187.04388427734381</v>
          </cell>
          <cell r="E1738">
            <v>75.983802795410156</v>
          </cell>
          <cell r="F1738">
            <v>126.33799743652339</v>
          </cell>
        </row>
        <row r="1739">
          <cell r="A1739">
            <v>44673</v>
          </cell>
          <cell r="B1739">
            <v>169.94087219238281</v>
          </cell>
          <cell r="C1739">
            <v>43.493099212646477</v>
          </cell>
          <cell r="D1739">
            <v>183.10546875</v>
          </cell>
          <cell r="E1739">
            <v>72.857643127441406</v>
          </cell>
          <cell r="F1739">
            <v>123.27492523193359</v>
          </cell>
        </row>
        <row r="1740">
          <cell r="A1740">
            <v>44676</v>
          </cell>
          <cell r="B1740">
            <v>173.0536193847656</v>
          </cell>
          <cell r="C1740">
            <v>43.979049682617188</v>
          </cell>
          <cell r="D1740">
            <v>185.96974182128909</v>
          </cell>
          <cell r="E1740">
            <v>73.593772888183594</v>
          </cell>
          <cell r="F1740">
            <v>126.75567626953119</v>
          </cell>
        </row>
        <row r="1741">
          <cell r="A1741">
            <v>44677</v>
          </cell>
          <cell r="B1741">
            <v>168.60261535644531</v>
          </cell>
          <cell r="C1741">
            <v>42.539875030517578</v>
          </cell>
          <cell r="D1741">
            <v>179.96272277832031</v>
          </cell>
          <cell r="E1741">
            <v>71.232414245605469</v>
          </cell>
          <cell r="F1741">
            <v>123.91538238525391</v>
          </cell>
        </row>
        <row r="1742">
          <cell r="A1742">
            <v>44678</v>
          </cell>
          <cell r="B1742">
            <v>173.16265869140619</v>
          </cell>
          <cell r="C1742">
            <v>42.259513854980469</v>
          </cell>
          <cell r="D1742">
            <v>173.99542236328119</v>
          </cell>
          <cell r="E1742">
            <v>71.471412658691406</v>
          </cell>
          <cell r="F1742">
            <v>125.400505065918</v>
          </cell>
        </row>
        <row r="1743">
          <cell r="A1743">
            <v>44679</v>
          </cell>
          <cell r="B1743">
            <v>184.1265869140625</v>
          </cell>
          <cell r="C1743">
            <v>43.773456573486328</v>
          </cell>
          <cell r="D1743">
            <v>204.60752868652341</v>
          </cell>
          <cell r="E1743">
            <v>72.790725708007813</v>
          </cell>
          <cell r="F1743">
            <v>137.55072021484381</v>
          </cell>
        </row>
        <row r="1744">
          <cell r="A1744">
            <v>44680</v>
          </cell>
          <cell r="B1744">
            <v>174.41169738769531</v>
          </cell>
          <cell r="C1744">
            <v>40.736228942871087</v>
          </cell>
          <cell r="D1744">
            <v>199.376220703125</v>
          </cell>
          <cell r="E1744">
            <v>70.171234130859375</v>
          </cell>
          <cell r="F1744">
            <v>129.66096496582031</v>
          </cell>
        </row>
        <row r="1745">
          <cell r="A1745">
            <v>44683</v>
          </cell>
          <cell r="B1745">
            <v>176.02754211425781</v>
          </cell>
          <cell r="C1745">
            <v>42.016532897949219</v>
          </cell>
          <cell r="D1745">
            <v>209.9780578613281</v>
          </cell>
          <cell r="E1745">
            <v>70.744865417480469</v>
          </cell>
          <cell r="F1745">
            <v>134.84037780761719</v>
          </cell>
        </row>
        <row r="1746">
          <cell r="A1746">
            <v>44684</v>
          </cell>
          <cell r="B1746">
            <v>176.81068420410159</v>
          </cell>
          <cell r="C1746">
            <v>42.1099853515625</v>
          </cell>
          <cell r="D1746">
            <v>210.8731384277344</v>
          </cell>
          <cell r="E1746">
            <v>70.066093444824219</v>
          </cell>
          <cell r="F1746">
            <v>133.9028625488281</v>
          </cell>
        </row>
        <row r="1747">
          <cell r="A1747">
            <v>44685</v>
          </cell>
          <cell r="B1747">
            <v>183.86883544921881</v>
          </cell>
          <cell r="C1747">
            <v>43.493099212646477</v>
          </cell>
          <cell r="D1747">
            <v>222.19105529785159</v>
          </cell>
          <cell r="E1747">
            <v>71.901626586914063</v>
          </cell>
          <cell r="F1747">
            <v>138.34898376464841</v>
          </cell>
        </row>
        <row r="1748">
          <cell r="A1748">
            <v>44686</v>
          </cell>
          <cell r="B1748">
            <v>170.80332946777341</v>
          </cell>
          <cell r="C1748">
            <v>42.009571075439453</v>
          </cell>
          <cell r="D1748">
            <v>207.1435852050781</v>
          </cell>
          <cell r="E1748">
            <v>69.597633361816406</v>
          </cell>
          <cell r="F1748">
            <v>131.47100830078119</v>
          </cell>
        </row>
        <row r="1749">
          <cell r="A1749">
            <v>44687</v>
          </cell>
          <cell r="B1749">
            <v>168.22589111328119</v>
          </cell>
          <cell r="C1749">
            <v>41.727001190185547</v>
          </cell>
          <cell r="D1749">
            <v>202.65821838378909</v>
          </cell>
          <cell r="E1749">
            <v>69.30126953125</v>
          </cell>
          <cell r="F1749">
            <v>130.4870910644531</v>
          </cell>
        </row>
        <row r="1750">
          <cell r="A1750">
            <v>44690</v>
          </cell>
          <cell r="B1750">
            <v>162.17890930175781</v>
          </cell>
          <cell r="C1750">
            <v>40.568439483642578</v>
          </cell>
          <cell r="D1750">
            <v>195.13948059082031</v>
          </cell>
          <cell r="E1750">
            <v>68.39306640625</v>
          </cell>
          <cell r="F1750">
            <v>125.2334289550781</v>
          </cell>
        </row>
        <row r="1751">
          <cell r="A1751">
            <v>44691</v>
          </cell>
          <cell r="B1751">
            <v>165.69805908203119</v>
          </cell>
          <cell r="C1751">
            <v>41.453838348388672</v>
          </cell>
          <cell r="D1751">
            <v>196.57157897949219</v>
          </cell>
          <cell r="E1751">
            <v>69.339508056640625</v>
          </cell>
          <cell r="F1751">
            <v>126.9877395629883</v>
          </cell>
        </row>
        <row r="1752">
          <cell r="A1752">
            <v>44692</v>
          </cell>
          <cell r="B1752">
            <v>159.869140625</v>
          </cell>
          <cell r="C1752">
            <v>40.342376708984382</v>
          </cell>
          <cell r="D1752">
            <v>187.71022033691409</v>
          </cell>
          <cell r="E1752">
            <v>67.905509948730469</v>
          </cell>
          <cell r="F1752">
            <v>122.80153656005859</v>
          </cell>
        </row>
        <row r="1753">
          <cell r="A1753">
            <v>44693</v>
          </cell>
          <cell r="B1753">
            <v>159.02653503417969</v>
          </cell>
          <cell r="C1753">
            <v>40.351799011230469</v>
          </cell>
          <cell r="D1753">
            <v>190.1965637207031</v>
          </cell>
          <cell r="E1753">
            <v>67.618682861328125</v>
          </cell>
          <cell r="F1753">
            <v>122.3096008300781</v>
          </cell>
        </row>
        <row r="1754">
          <cell r="A1754">
            <v>44694</v>
          </cell>
          <cell r="B1754">
            <v>165.46014404296881</v>
          </cell>
          <cell r="C1754">
            <v>41.067657470703118</v>
          </cell>
          <cell r="D1754">
            <v>197.53631591796881</v>
          </cell>
          <cell r="E1754">
            <v>68.039337158203125</v>
          </cell>
          <cell r="F1754">
            <v>125.2427215576172</v>
          </cell>
        </row>
        <row r="1755">
          <cell r="A1755">
            <v>44697</v>
          </cell>
          <cell r="B1755">
            <v>162.69438171386719</v>
          </cell>
          <cell r="C1755">
            <v>40.577857971191413</v>
          </cell>
          <cell r="D1755">
            <v>198.94854736328119</v>
          </cell>
          <cell r="E1755">
            <v>66.6435546875</v>
          </cell>
          <cell r="F1755">
            <v>124.2959747314453</v>
          </cell>
        </row>
        <row r="1756">
          <cell r="A1756">
            <v>44698</v>
          </cell>
          <cell r="B1756">
            <v>162.30778503417969</v>
          </cell>
          <cell r="C1756">
            <v>41.821189880371087</v>
          </cell>
          <cell r="D1756">
            <v>201.51448059082031</v>
          </cell>
          <cell r="E1756">
            <v>68.718086242675781</v>
          </cell>
          <cell r="F1756">
            <v>129.66096496582031</v>
          </cell>
        </row>
        <row r="1757">
          <cell r="A1757">
            <v>44699</v>
          </cell>
          <cell r="B1757">
            <v>155.9633483886719</v>
          </cell>
          <cell r="C1757">
            <v>39.890251159667969</v>
          </cell>
          <cell r="D1757">
            <v>191.19111633300781</v>
          </cell>
          <cell r="E1757">
            <v>65.295578002929688</v>
          </cell>
          <cell r="F1757">
            <v>121.08437347412109</v>
          </cell>
        </row>
        <row r="1758">
          <cell r="A1758">
            <v>44700</v>
          </cell>
          <cell r="B1758">
            <v>154.24839782714841</v>
          </cell>
          <cell r="C1758">
            <v>39.570011138916023</v>
          </cell>
          <cell r="D1758">
            <v>190.24629211425781</v>
          </cell>
          <cell r="E1758">
            <v>64.091018676757813</v>
          </cell>
          <cell r="F1758">
            <v>121.19577789306641</v>
          </cell>
        </row>
        <row r="1759">
          <cell r="A1759">
            <v>44701</v>
          </cell>
          <cell r="B1759">
            <v>158.2632141113281</v>
          </cell>
          <cell r="C1759">
            <v>39.230918884277337</v>
          </cell>
          <cell r="D1759">
            <v>192.48399353027341</v>
          </cell>
          <cell r="E1759">
            <v>65.611068725585938</v>
          </cell>
          <cell r="F1759">
            <v>122.1518096923828</v>
          </cell>
        </row>
        <row r="1760">
          <cell r="A1760">
            <v>44704</v>
          </cell>
          <cell r="B1760">
            <v>158.92738342285159</v>
          </cell>
          <cell r="C1760">
            <v>39.560588836669922</v>
          </cell>
          <cell r="D1760">
            <v>195.1593322753906</v>
          </cell>
          <cell r="E1760">
            <v>66.95904541015625</v>
          </cell>
          <cell r="F1760">
            <v>122.6344528198242</v>
          </cell>
        </row>
        <row r="1761">
          <cell r="A1761">
            <v>44705</v>
          </cell>
          <cell r="B1761">
            <v>155.56683349609381</v>
          </cell>
          <cell r="C1761">
            <v>39.249755859375</v>
          </cell>
          <cell r="D1761">
            <v>180.2909240722656</v>
          </cell>
          <cell r="E1761">
            <v>65.993476867675781</v>
          </cell>
          <cell r="F1761">
            <v>119.3022155761719</v>
          </cell>
        </row>
        <row r="1762">
          <cell r="A1762">
            <v>44706</v>
          </cell>
          <cell r="B1762">
            <v>158.2632141113281</v>
          </cell>
          <cell r="C1762">
            <v>39.748973846435547</v>
          </cell>
          <cell r="D1762">
            <v>182.8269958496094</v>
          </cell>
          <cell r="E1762">
            <v>66.758285522460938</v>
          </cell>
          <cell r="F1762">
            <v>121.808349609375</v>
          </cell>
        </row>
        <row r="1763">
          <cell r="A1763">
            <v>44707</v>
          </cell>
          <cell r="B1763">
            <v>161.0487976074219</v>
          </cell>
          <cell r="C1763">
            <v>40.954620361328118</v>
          </cell>
          <cell r="D1763">
            <v>190.5844421386719</v>
          </cell>
          <cell r="E1763">
            <v>68.507797241210938</v>
          </cell>
          <cell r="F1763">
            <v>125.1591873168945</v>
          </cell>
        </row>
        <row r="1764">
          <cell r="A1764">
            <v>44708</v>
          </cell>
          <cell r="B1764">
            <v>163.6658935546875</v>
          </cell>
          <cell r="C1764">
            <v>41.962474822998047</v>
          </cell>
          <cell r="D1764">
            <v>194.0653381347656</v>
          </cell>
          <cell r="E1764">
            <v>69.578529357910156</v>
          </cell>
          <cell r="F1764">
            <v>129.72593688964841</v>
          </cell>
        </row>
        <row r="1765">
          <cell r="A1765">
            <v>44712</v>
          </cell>
          <cell r="B1765">
            <v>158.84808349609381</v>
          </cell>
          <cell r="C1765">
            <v>41.840030670166023</v>
          </cell>
          <cell r="D1765">
            <v>192.5834655761719</v>
          </cell>
          <cell r="E1765">
            <v>68.75634765625</v>
          </cell>
          <cell r="F1765">
            <v>132.9375</v>
          </cell>
        </row>
        <row r="1766">
          <cell r="A1766">
            <v>44713</v>
          </cell>
          <cell r="B1766">
            <v>174.54058837890619</v>
          </cell>
          <cell r="C1766">
            <v>41.54803466796875</v>
          </cell>
          <cell r="D1766">
            <v>187.61073303222659</v>
          </cell>
          <cell r="E1766">
            <v>68.450424194335938</v>
          </cell>
          <cell r="F1766">
            <v>130.6514892578125</v>
          </cell>
        </row>
        <row r="1767">
          <cell r="A1767">
            <v>44714</v>
          </cell>
          <cell r="B1767">
            <v>186.7634582519531</v>
          </cell>
          <cell r="C1767">
            <v>42.235633850097663</v>
          </cell>
          <cell r="D1767">
            <v>197.77500915527341</v>
          </cell>
          <cell r="E1767">
            <v>69.922683715820313</v>
          </cell>
          <cell r="F1767">
            <v>136.41796875</v>
          </cell>
        </row>
        <row r="1768">
          <cell r="A1768">
            <v>44715</v>
          </cell>
          <cell r="B1768">
            <v>183.30378723144531</v>
          </cell>
          <cell r="C1768">
            <v>40.869853973388672</v>
          </cell>
          <cell r="D1768">
            <v>189.73907470703119</v>
          </cell>
          <cell r="E1768">
            <v>68.632064819335938</v>
          </cell>
          <cell r="F1768">
            <v>131.77119445800781</v>
          </cell>
        </row>
        <row r="1769">
          <cell r="A1769">
            <v>44718</v>
          </cell>
          <cell r="B1769">
            <v>181.281494140625</v>
          </cell>
          <cell r="C1769">
            <v>40.82275390625</v>
          </cell>
          <cell r="D1769">
            <v>193.19013977050781</v>
          </cell>
          <cell r="E1769">
            <v>69.760162353515625</v>
          </cell>
          <cell r="F1769">
            <v>131.0433654785156</v>
          </cell>
        </row>
        <row r="1770">
          <cell r="A1770">
            <v>44719</v>
          </cell>
          <cell r="B1770">
            <v>185.52433776855469</v>
          </cell>
          <cell r="C1770">
            <v>41.001716613769531</v>
          </cell>
          <cell r="D1770">
            <v>194.58250427246091</v>
          </cell>
          <cell r="E1770">
            <v>69.492469787597656</v>
          </cell>
          <cell r="F1770">
            <v>132.39634704589841</v>
          </cell>
        </row>
        <row r="1771">
          <cell r="A1771">
            <v>44720</v>
          </cell>
          <cell r="B1771">
            <v>187.54661560058591</v>
          </cell>
          <cell r="C1771">
            <v>38.835308074951172</v>
          </cell>
          <cell r="D1771">
            <v>195.56712341308591</v>
          </cell>
          <cell r="E1771">
            <v>68.2401123046875</v>
          </cell>
          <cell r="F1771">
            <v>129.6623840332031</v>
          </cell>
        </row>
        <row r="1772">
          <cell r="A1772">
            <v>44721</v>
          </cell>
          <cell r="B1772">
            <v>185.48469543457031</v>
          </cell>
          <cell r="C1772">
            <v>37.686164855957031</v>
          </cell>
          <cell r="D1772">
            <v>182.99607849121091</v>
          </cell>
          <cell r="E1772">
            <v>66.175117492675781</v>
          </cell>
          <cell r="F1772">
            <v>127.5629348754883</v>
          </cell>
        </row>
        <row r="1773">
          <cell r="A1773">
            <v>44722</v>
          </cell>
          <cell r="B1773">
            <v>176.89990234375</v>
          </cell>
          <cell r="C1773">
            <v>36.904373168945313</v>
          </cell>
          <cell r="D1773">
            <v>174.61207580566409</v>
          </cell>
          <cell r="E1773">
            <v>64.186607360839844</v>
          </cell>
          <cell r="F1773">
            <v>124.28778076171881</v>
          </cell>
        </row>
        <row r="1774">
          <cell r="A1774">
            <v>44725</v>
          </cell>
          <cell r="B1774">
            <v>164.5877990722656</v>
          </cell>
          <cell r="C1774">
            <v>35.576271057128913</v>
          </cell>
          <cell r="D1774">
            <v>163.36375427246091</v>
          </cell>
          <cell r="E1774">
            <v>61.2325439453125</v>
          </cell>
          <cell r="F1774">
            <v>120.0515518188477</v>
          </cell>
        </row>
        <row r="1775">
          <cell r="A1775">
            <v>44726</v>
          </cell>
          <cell r="B1775">
            <v>163.0215148925781</v>
          </cell>
          <cell r="C1775">
            <v>35.726978302001953</v>
          </cell>
          <cell r="D1775">
            <v>162.8366394042969</v>
          </cell>
          <cell r="E1775">
            <v>67.609130859375</v>
          </cell>
          <cell r="F1775">
            <v>121.5444793701172</v>
          </cell>
        </row>
        <row r="1776">
          <cell r="A1776">
            <v>44727</v>
          </cell>
          <cell r="B1776">
            <v>167.0859069824219</v>
          </cell>
          <cell r="C1776">
            <v>36.405158996582031</v>
          </cell>
          <cell r="D1776">
            <v>168.42601013183591</v>
          </cell>
          <cell r="E1776">
            <v>66.634002685546875</v>
          </cell>
          <cell r="F1776">
            <v>122.2629852294922</v>
          </cell>
        </row>
        <row r="1777">
          <cell r="A1777">
            <v>44728</v>
          </cell>
          <cell r="B1777">
            <v>158.46147155761719</v>
          </cell>
          <cell r="C1777">
            <v>35.171241760253913</v>
          </cell>
          <cell r="D1777">
            <v>159.9922790527344</v>
          </cell>
          <cell r="E1777">
            <v>65.68756103515625</v>
          </cell>
          <cell r="F1777">
            <v>112.73610687255859</v>
          </cell>
        </row>
        <row r="1778">
          <cell r="A1778">
            <v>44729</v>
          </cell>
          <cell r="B1778">
            <v>161.84185791015619</v>
          </cell>
          <cell r="C1778">
            <v>34.822734832763672</v>
          </cell>
          <cell r="D1778">
            <v>162.84663391113281</v>
          </cell>
          <cell r="E1778">
            <v>64.741096496582031</v>
          </cell>
          <cell r="F1778">
            <v>112.8947372436523</v>
          </cell>
        </row>
        <row r="1779">
          <cell r="A1779">
            <v>44733</v>
          </cell>
          <cell r="B1779">
            <v>165.38084411621091</v>
          </cell>
          <cell r="C1779">
            <v>35.538589477539063</v>
          </cell>
          <cell r="D1779">
            <v>156.193115234375</v>
          </cell>
          <cell r="E1779">
            <v>64.702857971191406</v>
          </cell>
          <cell r="F1779">
            <v>116.06723785400391</v>
          </cell>
        </row>
        <row r="1780">
          <cell r="A1780">
            <v>44734</v>
          </cell>
          <cell r="B1780">
            <v>165.9954528808594</v>
          </cell>
          <cell r="C1780">
            <v>35.208919525146477</v>
          </cell>
          <cell r="D1780">
            <v>154.99964904785159</v>
          </cell>
          <cell r="E1780">
            <v>63.603450775146477</v>
          </cell>
          <cell r="F1780">
            <v>113.98647308349609</v>
          </cell>
        </row>
        <row r="1781">
          <cell r="A1781">
            <v>44735</v>
          </cell>
          <cell r="B1781">
            <v>171.54682922363281</v>
          </cell>
          <cell r="C1781">
            <v>35.237174987792969</v>
          </cell>
          <cell r="D1781">
            <v>157.88385009765619</v>
          </cell>
          <cell r="E1781">
            <v>64.655059814453125</v>
          </cell>
          <cell r="F1781">
            <v>112.05494689941411</v>
          </cell>
        </row>
        <row r="1782">
          <cell r="A1782">
            <v>44736</v>
          </cell>
          <cell r="B1782">
            <v>184.3050231933594</v>
          </cell>
          <cell r="C1782">
            <v>36.367485046386719</v>
          </cell>
          <cell r="D1782">
            <v>169.23158264160159</v>
          </cell>
          <cell r="E1782">
            <v>67.590011596679688</v>
          </cell>
          <cell r="F1782">
            <v>116.72975158691411</v>
          </cell>
        </row>
        <row r="1783">
          <cell r="A1783">
            <v>44739</v>
          </cell>
          <cell r="B1783">
            <v>179.73506164550781</v>
          </cell>
          <cell r="C1783">
            <v>36.386322021484382</v>
          </cell>
          <cell r="D1783">
            <v>168.56524658203119</v>
          </cell>
          <cell r="E1783">
            <v>67.312782287597656</v>
          </cell>
          <cell r="F1783">
            <v>118.6705780029297</v>
          </cell>
        </row>
        <row r="1784">
          <cell r="A1784">
            <v>44740</v>
          </cell>
          <cell r="B1784">
            <v>169.97064208984381</v>
          </cell>
          <cell r="C1784">
            <v>35.585685729980469</v>
          </cell>
          <cell r="D1784">
            <v>159.80329895019531</v>
          </cell>
          <cell r="E1784">
            <v>65.563285827636719</v>
          </cell>
          <cell r="F1784">
            <v>122.7948455810547</v>
          </cell>
        </row>
        <row r="1785">
          <cell r="A1785">
            <v>44741</v>
          </cell>
          <cell r="B1785">
            <v>169.1280212402344</v>
          </cell>
          <cell r="C1785">
            <v>35.124153137207031</v>
          </cell>
          <cell r="D1785">
            <v>163.04551696777341</v>
          </cell>
          <cell r="E1785">
            <v>66.165557861328125</v>
          </cell>
          <cell r="F1785">
            <v>121.51650238037109</v>
          </cell>
        </row>
        <row r="1786">
          <cell r="A1786">
            <v>44742</v>
          </cell>
          <cell r="B1786">
            <v>163.60638427734381</v>
          </cell>
          <cell r="C1786">
            <v>35.237174987792969</v>
          </cell>
          <cell r="D1786">
            <v>160.3702087402344</v>
          </cell>
          <cell r="E1786">
            <v>66.796524047851563</v>
          </cell>
          <cell r="F1786">
            <v>119.19309997558589</v>
          </cell>
        </row>
        <row r="1787">
          <cell r="A1787">
            <v>44743</v>
          </cell>
          <cell r="B1787">
            <v>166.73895263671881</v>
          </cell>
          <cell r="C1787">
            <v>34.229324340820313</v>
          </cell>
          <cell r="D1787">
            <v>159.1568603515625</v>
          </cell>
          <cell r="E1787">
            <v>67.752532958984375</v>
          </cell>
          <cell r="F1787">
            <v>115.26479339599609</v>
          </cell>
        </row>
        <row r="1788">
          <cell r="A1788">
            <v>44747</v>
          </cell>
          <cell r="B1788">
            <v>170.70420837402341</v>
          </cell>
          <cell r="C1788">
            <v>34.558998107910163</v>
          </cell>
          <cell r="D1788">
            <v>167.2723388671875</v>
          </cell>
          <cell r="E1788">
            <v>68.823265075683594</v>
          </cell>
          <cell r="F1788">
            <v>117.41090393066411</v>
          </cell>
        </row>
        <row r="1789">
          <cell r="A1789">
            <v>44748</v>
          </cell>
          <cell r="B1789">
            <v>171.2295837402344</v>
          </cell>
          <cell r="C1789">
            <v>34.841571807861328</v>
          </cell>
          <cell r="D1789">
            <v>168.84373474121091</v>
          </cell>
          <cell r="E1789">
            <v>68.507797241210938</v>
          </cell>
          <cell r="F1789">
            <v>118.5586013793945</v>
          </cell>
        </row>
        <row r="1790">
          <cell r="A1790">
            <v>44749</v>
          </cell>
          <cell r="B1790">
            <v>175.10563659667969</v>
          </cell>
          <cell r="C1790">
            <v>35.924777984619141</v>
          </cell>
          <cell r="D1790">
            <v>171.25050354003909</v>
          </cell>
          <cell r="E1790">
            <v>68.670303344726563</v>
          </cell>
          <cell r="F1790">
            <v>125.40748596191411</v>
          </cell>
        </row>
        <row r="1791">
          <cell r="A1791">
            <v>44750</v>
          </cell>
          <cell r="B1791">
            <v>173.97552490234381</v>
          </cell>
          <cell r="C1791">
            <v>35.783489227294922</v>
          </cell>
          <cell r="D1791">
            <v>169.9476623535156</v>
          </cell>
          <cell r="E1791">
            <v>68.70855712890625</v>
          </cell>
          <cell r="F1791">
            <v>126.90977478027339</v>
          </cell>
        </row>
        <row r="1792">
          <cell r="A1792">
            <v>44753</v>
          </cell>
          <cell r="B1792">
            <v>172.8454284667969</v>
          </cell>
          <cell r="C1792">
            <v>35.039382934570313</v>
          </cell>
          <cell r="D1792">
            <v>161.9913024902344</v>
          </cell>
          <cell r="E1792">
            <v>68.727745056152344</v>
          </cell>
          <cell r="F1792">
            <v>123.3919982910156</v>
          </cell>
        </row>
        <row r="1793">
          <cell r="A1793">
            <v>44754</v>
          </cell>
          <cell r="B1793">
            <v>164.88517761230469</v>
          </cell>
          <cell r="C1793">
            <v>35.048797607421882</v>
          </cell>
          <cell r="D1793">
            <v>162.37916564941409</v>
          </cell>
          <cell r="E1793">
            <v>67.61383056640625</v>
          </cell>
          <cell r="F1793">
            <v>124.0544891357422</v>
          </cell>
        </row>
        <row r="1794">
          <cell r="A1794">
            <v>44755</v>
          </cell>
          <cell r="B1794">
            <v>162.0698547363281</v>
          </cell>
          <cell r="C1794">
            <v>35.048797607421882</v>
          </cell>
          <cell r="D1794">
            <v>162.59797668457031</v>
          </cell>
          <cell r="E1794">
            <v>67.248908996582031</v>
          </cell>
          <cell r="F1794">
            <v>126.5645294189453</v>
          </cell>
        </row>
        <row r="1795">
          <cell r="A1795">
            <v>44756</v>
          </cell>
          <cell r="B1795">
            <v>159.6411437988281</v>
          </cell>
          <cell r="C1795">
            <v>35.519752502441413</v>
          </cell>
          <cell r="D1795">
            <v>157.1876525878906</v>
          </cell>
          <cell r="E1795">
            <v>66.691947937011719</v>
          </cell>
          <cell r="F1795">
            <v>132.40568542480469</v>
          </cell>
        </row>
        <row r="1796">
          <cell r="A1796">
            <v>44757</v>
          </cell>
          <cell r="B1796">
            <v>165.92607116699219</v>
          </cell>
          <cell r="C1796">
            <v>36.376895904541023</v>
          </cell>
          <cell r="D1796">
            <v>163.80137634277341</v>
          </cell>
          <cell r="E1796">
            <v>67.930717468261719</v>
          </cell>
          <cell r="F1796">
            <v>134.71038818359381</v>
          </cell>
        </row>
        <row r="1797">
          <cell r="A1797">
            <v>44760</v>
          </cell>
          <cell r="B1797">
            <v>166.43162536621091</v>
          </cell>
          <cell r="C1797">
            <v>36.461669921875</v>
          </cell>
          <cell r="D1797">
            <v>166.31756591796881</v>
          </cell>
          <cell r="E1797">
            <v>67.4217529296875</v>
          </cell>
          <cell r="F1797">
            <v>132.20970153808591</v>
          </cell>
        </row>
        <row r="1798">
          <cell r="A1798">
            <v>44761</v>
          </cell>
          <cell r="B1798">
            <v>172.3002014160156</v>
          </cell>
          <cell r="C1798">
            <v>37.88397216796875</v>
          </cell>
          <cell r="D1798">
            <v>174.82093811035159</v>
          </cell>
          <cell r="E1798">
            <v>69.371147155761719</v>
          </cell>
          <cell r="F1798">
            <v>137.50970458984381</v>
          </cell>
        </row>
        <row r="1799">
          <cell r="A1799">
            <v>44762</v>
          </cell>
          <cell r="B1799">
            <v>180.86515808105469</v>
          </cell>
          <cell r="C1799">
            <v>38.2042236328125</v>
          </cell>
          <cell r="D1799">
            <v>182.0910339355469</v>
          </cell>
          <cell r="E1799">
            <v>69.707252502441406</v>
          </cell>
          <cell r="F1799">
            <v>141.55931091308591</v>
          </cell>
        </row>
        <row r="1800">
          <cell r="A1800">
            <v>44763</v>
          </cell>
          <cell r="B1800">
            <v>183.7399597167969</v>
          </cell>
          <cell r="C1800">
            <v>38.251319885253913</v>
          </cell>
          <cell r="D1800">
            <v>182.17059326171881</v>
          </cell>
          <cell r="E1800">
            <v>71.579795837402344</v>
          </cell>
          <cell r="F1800">
            <v>145.431640625</v>
          </cell>
        </row>
        <row r="1801">
          <cell r="A1801">
            <v>44764</v>
          </cell>
          <cell r="B1801">
            <v>180.88499450683591</v>
          </cell>
          <cell r="C1801">
            <v>36.923213958740227</v>
          </cell>
          <cell r="D1801">
            <v>168.346435546875</v>
          </cell>
          <cell r="E1801">
            <v>71.925529479980469</v>
          </cell>
          <cell r="F1801">
            <v>143.4161682128906</v>
          </cell>
        </row>
        <row r="1802">
          <cell r="A1802">
            <v>44767</v>
          </cell>
          <cell r="B1802">
            <v>175.74995422363281</v>
          </cell>
          <cell r="C1802">
            <v>36.885540008544922</v>
          </cell>
          <cell r="D1802">
            <v>165.74073791503909</v>
          </cell>
          <cell r="E1802">
            <v>71.8870849609375</v>
          </cell>
          <cell r="F1802">
            <v>142.99626159667969</v>
          </cell>
        </row>
        <row r="1803">
          <cell r="A1803">
            <v>44768</v>
          </cell>
          <cell r="B1803">
            <v>168.97930908203119</v>
          </cell>
          <cell r="C1803">
            <v>36.697154998779297</v>
          </cell>
          <cell r="D1803">
            <v>158.28166198730469</v>
          </cell>
          <cell r="E1803">
            <v>71.090065002441406</v>
          </cell>
          <cell r="F1803">
            <v>139.93574523925781</v>
          </cell>
        </row>
        <row r="1804">
          <cell r="A1804">
            <v>44769</v>
          </cell>
          <cell r="B1804">
            <v>178.73382568359381</v>
          </cell>
          <cell r="C1804">
            <v>37.846290588378913</v>
          </cell>
          <cell r="D1804">
            <v>168.6547546386719</v>
          </cell>
          <cell r="E1804">
            <v>72.85699462890625</v>
          </cell>
          <cell r="F1804">
            <v>143.1549072265625</v>
          </cell>
        </row>
        <row r="1805">
          <cell r="A1805">
            <v>44770</v>
          </cell>
          <cell r="B1805">
            <v>179.71522521972659</v>
          </cell>
          <cell r="C1805">
            <v>37.403591156005859</v>
          </cell>
          <cell r="D1805">
            <v>159.84309387207031</v>
          </cell>
          <cell r="E1805">
            <v>73.980522155761719</v>
          </cell>
          <cell r="F1805">
            <v>136.65122985839841</v>
          </cell>
        </row>
        <row r="1806">
          <cell r="A1806">
            <v>44771</v>
          </cell>
          <cell r="B1806">
            <v>182.4215393066406</v>
          </cell>
          <cell r="C1806">
            <v>34.201072692871087</v>
          </cell>
          <cell r="D1806">
            <v>158.23191833496091</v>
          </cell>
          <cell r="E1806">
            <v>74.748756408691406</v>
          </cell>
          <cell r="F1806">
            <v>135.35423278808591</v>
          </cell>
        </row>
        <row r="1807">
          <cell r="A1807">
            <v>44774</v>
          </cell>
          <cell r="B1807">
            <v>181.39054870605469</v>
          </cell>
          <cell r="C1807">
            <v>34.813316345214837</v>
          </cell>
          <cell r="D1807">
            <v>159.05738830566409</v>
          </cell>
          <cell r="E1807">
            <v>74.364646911621094</v>
          </cell>
          <cell r="F1807">
            <v>137.565673828125</v>
          </cell>
        </row>
        <row r="1808">
          <cell r="A1808">
            <v>44775</v>
          </cell>
          <cell r="B1808">
            <v>182.1935119628906</v>
          </cell>
          <cell r="C1808">
            <v>33.918491363525391</v>
          </cell>
          <cell r="D1808">
            <v>159.31599426269531</v>
          </cell>
          <cell r="E1808">
            <v>73.317909240722656</v>
          </cell>
          <cell r="F1808">
            <v>137.19245910644531</v>
          </cell>
        </row>
        <row r="1809">
          <cell r="A1809">
            <v>44776</v>
          </cell>
          <cell r="B1809">
            <v>188.00262451171881</v>
          </cell>
          <cell r="C1809">
            <v>34.398868560791023</v>
          </cell>
          <cell r="D1809">
            <v>167.87901306152341</v>
          </cell>
          <cell r="E1809">
            <v>74.297409057617188</v>
          </cell>
          <cell r="F1809">
            <v>139.17991638183591</v>
          </cell>
        </row>
        <row r="1810">
          <cell r="A1810">
            <v>44777</v>
          </cell>
          <cell r="B1810">
            <v>189.6085510253906</v>
          </cell>
          <cell r="C1810">
            <v>33.927909851074219</v>
          </cell>
          <cell r="D1810">
            <v>169.63934326171881</v>
          </cell>
          <cell r="E1810">
            <v>74.326225280761719</v>
          </cell>
          <cell r="F1810">
            <v>140.9061279296875</v>
          </cell>
        </row>
        <row r="1811">
          <cell r="A1811">
            <v>44778</v>
          </cell>
          <cell r="B1811">
            <v>188.5180969238281</v>
          </cell>
          <cell r="C1811">
            <v>33.671024322509773</v>
          </cell>
          <cell r="D1811">
            <v>166.1982421875</v>
          </cell>
          <cell r="E1811">
            <v>74.278205871582031</v>
          </cell>
          <cell r="F1811">
            <v>140.1596984863281</v>
          </cell>
        </row>
        <row r="1812">
          <cell r="A1812">
            <v>44781</v>
          </cell>
          <cell r="B1812">
            <v>188.10174560546881</v>
          </cell>
          <cell r="C1812">
            <v>33.661518096923828</v>
          </cell>
          <cell r="D1812">
            <v>169.32110595703119</v>
          </cell>
          <cell r="E1812">
            <v>73.433158874511719</v>
          </cell>
          <cell r="F1812">
            <v>137.92024230957031</v>
          </cell>
        </row>
        <row r="1813">
          <cell r="A1813">
            <v>44782</v>
          </cell>
          <cell r="B1813">
            <v>180.656982421875</v>
          </cell>
          <cell r="C1813">
            <v>32.843284606933587</v>
          </cell>
          <cell r="D1813">
            <v>167.6104736328125</v>
          </cell>
          <cell r="E1813">
            <v>73.721244812011719</v>
          </cell>
          <cell r="F1813">
            <v>132.974853515625</v>
          </cell>
        </row>
        <row r="1814">
          <cell r="A1814">
            <v>44783</v>
          </cell>
          <cell r="B1814">
            <v>186.97166442871091</v>
          </cell>
          <cell r="C1814">
            <v>33.652000427246087</v>
          </cell>
          <cell r="D1814">
            <v>177.36695861816409</v>
          </cell>
          <cell r="E1814">
            <v>74.460670471191406</v>
          </cell>
          <cell r="F1814">
            <v>137.1551208496094</v>
          </cell>
        </row>
        <row r="1815">
          <cell r="A1815">
            <v>44784</v>
          </cell>
          <cell r="B1815">
            <v>185.10798645019531</v>
          </cell>
          <cell r="C1815">
            <v>33.861309051513672</v>
          </cell>
          <cell r="D1815">
            <v>176.5215759277344</v>
          </cell>
          <cell r="E1815">
            <v>74.095756530761719</v>
          </cell>
          <cell r="F1815">
            <v>137.93890380859381</v>
          </cell>
        </row>
        <row r="1816">
          <cell r="A1816">
            <v>44785</v>
          </cell>
          <cell r="B1816">
            <v>188.24052429199219</v>
          </cell>
          <cell r="C1816">
            <v>34.356052398681641</v>
          </cell>
          <cell r="D1816">
            <v>179.5151672363281</v>
          </cell>
          <cell r="E1816">
            <v>76.006721496582031</v>
          </cell>
          <cell r="F1816">
            <v>141.16741943359381</v>
          </cell>
        </row>
        <row r="1817">
          <cell r="A1817">
            <v>44788</v>
          </cell>
          <cell r="B1817">
            <v>189.4003601074219</v>
          </cell>
          <cell r="C1817">
            <v>34.574882507324219</v>
          </cell>
          <cell r="D1817">
            <v>179.9030456542969</v>
          </cell>
          <cell r="E1817">
            <v>75.968315124511719</v>
          </cell>
          <cell r="F1817">
            <v>141.95118713378909</v>
          </cell>
        </row>
        <row r="1818">
          <cell r="A1818">
            <v>44789</v>
          </cell>
          <cell r="B1818">
            <v>187.9431457519531</v>
          </cell>
          <cell r="C1818">
            <v>34.432170867919922</v>
          </cell>
          <cell r="D1818">
            <v>178.49078369140619</v>
          </cell>
          <cell r="E1818">
            <v>76.362037658691406</v>
          </cell>
          <cell r="F1818">
            <v>139.99171447753909</v>
          </cell>
        </row>
        <row r="1819">
          <cell r="A1819">
            <v>44790</v>
          </cell>
          <cell r="B1819">
            <v>186.3273010253906</v>
          </cell>
          <cell r="C1819">
            <v>34.042083740234382</v>
          </cell>
          <cell r="D1819">
            <v>173.89601135253909</v>
          </cell>
          <cell r="E1819">
            <v>76.102737426757813</v>
          </cell>
          <cell r="F1819">
            <v>138.5920715332031</v>
          </cell>
        </row>
        <row r="1820">
          <cell r="A1820">
            <v>44791</v>
          </cell>
          <cell r="B1820">
            <v>186.29756164550781</v>
          </cell>
          <cell r="C1820">
            <v>34.441684722900391</v>
          </cell>
          <cell r="D1820">
            <v>173.70701599121091</v>
          </cell>
          <cell r="E1820">
            <v>76.169975280761719</v>
          </cell>
          <cell r="F1820">
            <v>141.25138854980469</v>
          </cell>
        </row>
        <row r="1821">
          <cell r="A1821">
            <v>44792</v>
          </cell>
          <cell r="B1821">
            <v>182.17369079589841</v>
          </cell>
          <cell r="C1821">
            <v>33.661518096923828</v>
          </cell>
          <cell r="D1821">
            <v>167.04359436035159</v>
          </cell>
          <cell r="E1821">
            <v>75.536178588867188</v>
          </cell>
          <cell r="F1821">
            <v>137.72431945800781</v>
          </cell>
        </row>
        <row r="1822">
          <cell r="A1822">
            <v>44795</v>
          </cell>
          <cell r="B1822">
            <v>175.44267272949219</v>
          </cell>
          <cell r="C1822">
            <v>32.196315765380859</v>
          </cell>
          <cell r="D1822">
            <v>162.1603698730469</v>
          </cell>
          <cell r="E1822">
            <v>73.423561096191406</v>
          </cell>
          <cell r="F1822">
            <v>132.13508605957031</v>
          </cell>
        </row>
        <row r="1823">
          <cell r="A1823">
            <v>44796</v>
          </cell>
          <cell r="B1823">
            <v>174.47117614746091</v>
          </cell>
          <cell r="C1823">
            <v>32.300975799560547</v>
          </cell>
          <cell r="D1823">
            <v>160.23095703125</v>
          </cell>
          <cell r="E1823">
            <v>73.37554931640625</v>
          </cell>
          <cell r="F1823">
            <v>131.30462646484381</v>
          </cell>
        </row>
        <row r="1824">
          <cell r="A1824">
            <v>44797</v>
          </cell>
          <cell r="B1824">
            <v>178.44633483886719</v>
          </cell>
          <cell r="C1824">
            <v>32.215343475341797</v>
          </cell>
          <cell r="D1824">
            <v>162.36924743652341</v>
          </cell>
          <cell r="E1824">
            <v>73.145065307617188</v>
          </cell>
          <cell r="F1824">
            <v>131.85514831542969</v>
          </cell>
        </row>
        <row r="1825">
          <cell r="A1825">
            <v>44798</v>
          </cell>
          <cell r="B1825">
            <v>172.39933776855469</v>
          </cell>
          <cell r="C1825">
            <v>33.1953125</v>
          </cell>
          <cell r="D1825">
            <v>167.85911560058591</v>
          </cell>
          <cell r="E1825">
            <v>73.83648681640625</v>
          </cell>
          <cell r="F1825">
            <v>136.4646301269531</v>
          </cell>
        </row>
        <row r="1826">
          <cell r="A1826">
            <v>44799</v>
          </cell>
          <cell r="B1826">
            <v>163.79473876953119</v>
          </cell>
          <cell r="C1826">
            <v>31.739631652832031</v>
          </cell>
          <cell r="D1826">
            <v>160.8973083496094</v>
          </cell>
          <cell r="E1826">
            <v>71.685447692871094</v>
          </cell>
          <cell r="F1826">
            <v>129.12120056152341</v>
          </cell>
        </row>
        <row r="1827">
          <cell r="A1827">
            <v>44802</v>
          </cell>
          <cell r="B1827">
            <v>158.818359375</v>
          </cell>
          <cell r="C1827">
            <v>31.340028762817379</v>
          </cell>
          <cell r="D1827">
            <v>158.30157470703119</v>
          </cell>
          <cell r="E1827">
            <v>71.243705749511719</v>
          </cell>
          <cell r="F1827">
            <v>127.9081726074219</v>
          </cell>
        </row>
        <row r="1828">
          <cell r="A1828">
            <v>44803</v>
          </cell>
          <cell r="B1828">
            <v>158.2830505371094</v>
          </cell>
          <cell r="C1828">
            <v>30.693058013916019</v>
          </cell>
          <cell r="D1828">
            <v>156.30253601074219</v>
          </cell>
          <cell r="E1828">
            <v>71.195693969726563</v>
          </cell>
          <cell r="F1828">
            <v>125.4168395996094</v>
          </cell>
        </row>
        <row r="1829">
          <cell r="A1829">
            <v>44804</v>
          </cell>
          <cell r="B1829">
            <v>154.76385498046881</v>
          </cell>
          <cell r="C1829">
            <v>30.369571685791019</v>
          </cell>
          <cell r="D1829">
            <v>162.04100036621091</v>
          </cell>
          <cell r="E1829">
            <v>71.205284118652344</v>
          </cell>
          <cell r="F1829">
            <v>124.11256408691411</v>
          </cell>
        </row>
        <row r="1830">
          <cell r="A1830">
            <v>44805</v>
          </cell>
          <cell r="B1830">
            <v>152.19639587402341</v>
          </cell>
          <cell r="C1830">
            <v>30.217344284057621</v>
          </cell>
          <cell r="D1830">
            <v>164.45777893066409</v>
          </cell>
          <cell r="E1830">
            <v>72.309623718261719</v>
          </cell>
          <cell r="F1830">
            <v>121.90748596191411</v>
          </cell>
        </row>
        <row r="1831">
          <cell r="A1831">
            <v>44806</v>
          </cell>
          <cell r="B1831">
            <v>152.35499572753909</v>
          </cell>
          <cell r="C1831">
            <v>29.703573226928711</v>
          </cell>
          <cell r="D1831">
            <v>159.4452819824219</v>
          </cell>
          <cell r="E1831">
            <v>71.714248657226563</v>
          </cell>
          <cell r="F1831">
            <v>120.55628967285161</v>
          </cell>
        </row>
        <row r="1832">
          <cell r="A1832">
            <v>44810</v>
          </cell>
          <cell r="B1832">
            <v>150.40208435058591</v>
          </cell>
          <cell r="C1832">
            <v>28.885349273681641</v>
          </cell>
          <cell r="D1832">
            <v>157.67498779296881</v>
          </cell>
          <cell r="E1832">
            <v>70.898002624511719</v>
          </cell>
          <cell r="F1832">
            <v>118.85792541503911</v>
          </cell>
        </row>
        <row r="1833">
          <cell r="A1833">
            <v>44811</v>
          </cell>
          <cell r="B1833">
            <v>151.9485168457031</v>
          </cell>
          <cell r="C1833">
            <v>29.161262512207031</v>
          </cell>
          <cell r="D1833">
            <v>159.514892578125</v>
          </cell>
          <cell r="E1833">
            <v>71.531791687011719</v>
          </cell>
          <cell r="F1833">
            <v>120.66888427734381</v>
          </cell>
        </row>
        <row r="1834">
          <cell r="A1834">
            <v>44812</v>
          </cell>
          <cell r="B1834">
            <v>155.53709411621091</v>
          </cell>
          <cell r="C1834">
            <v>29.256404876708981</v>
          </cell>
          <cell r="D1834">
            <v>161.17578125</v>
          </cell>
          <cell r="E1834">
            <v>71.685447692871094</v>
          </cell>
          <cell r="F1834">
            <v>120.90346527099609</v>
          </cell>
        </row>
        <row r="1835">
          <cell r="A1835">
            <v>44813</v>
          </cell>
          <cell r="B1835">
            <v>161.17768859863281</v>
          </cell>
          <cell r="C1835">
            <v>29.931917190551761</v>
          </cell>
          <cell r="D1835">
            <v>168.22709655761719</v>
          </cell>
          <cell r="E1835">
            <v>72.895408630371094</v>
          </cell>
          <cell r="F1835">
            <v>123.906135559082</v>
          </cell>
        </row>
        <row r="1836">
          <cell r="A1836">
            <v>44816</v>
          </cell>
          <cell r="B1836">
            <v>164.19126892089841</v>
          </cell>
          <cell r="C1836">
            <v>30.02706146240234</v>
          </cell>
          <cell r="D1836">
            <v>168.03814697265619</v>
          </cell>
          <cell r="E1836">
            <v>74.018936157226563</v>
          </cell>
          <cell r="F1836">
            <v>124.79750823974609</v>
          </cell>
        </row>
        <row r="1837">
          <cell r="A1837">
            <v>44817</v>
          </cell>
          <cell r="B1837">
            <v>156.7266845703125</v>
          </cell>
          <cell r="C1837">
            <v>27.86732292175293</v>
          </cell>
          <cell r="D1837">
            <v>152.29449462890619</v>
          </cell>
          <cell r="E1837">
            <v>73.020233154296875</v>
          </cell>
          <cell r="F1837">
            <v>117.225227355957</v>
          </cell>
        </row>
        <row r="1838">
          <cell r="A1838">
            <v>44818</v>
          </cell>
          <cell r="B1838">
            <v>158.8877258300781</v>
          </cell>
          <cell r="C1838">
            <v>27.762660980224609</v>
          </cell>
          <cell r="D1838">
            <v>150.64356994628909</v>
          </cell>
          <cell r="E1838">
            <v>69.255905151367188</v>
          </cell>
          <cell r="F1838">
            <v>119.6648635864258</v>
          </cell>
        </row>
        <row r="1839">
          <cell r="A1839">
            <v>44819</v>
          </cell>
          <cell r="B1839">
            <v>153.4355163574219</v>
          </cell>
          <cell r="C1839">
            <v>27.439176559448239</v>
          </cell>
          <cell r="D1839">
            <v>148.73405456542969</v>
          </cell>
          <cell r="E1839">
            <v>67.450576782226563</v>
          </cell>
          <cell r="F1839">
            <v>117.2721481323242</v>
          </cell>
        </row>
        <row r="1840">
          <cell r="A1840">
            <v>44820</v>
          </cell>
          <cell r="B1840">
            <v>150.19390869140619</v>
          </cell>
          <cell r="C1840">
            <v>27.819747924804691</v>
          </cell>
          <cell r="D1840">
            <v>145.4918212890625</v>
          </cell>
          <cell r="E1840">
            <v>66.096565246582031</v>
          </cell>
          <cell r="F1840">
            <v>117.2439880371094</v>
          </cell>
        </row>
        <row r="1841">
          <cell r="A1841">
            <v>44823</v>
          </cell>
          <cell r="B1841">
            <v>151.5024719238281</v>
          </cell>
          <cell r="C1841">
            <v>28.01003265380859</v>
          </cell>
          <cell r="D1841">
            <v>147.2123718261719</v>
          </cell>
          <cell r="E1841">
            <v>66.327033996582031</v>
          </cell>
          <cell r="F1841">
            <v>118.8391494750977</v>
          </cell>
        </row>
        <row r="1842">
          <cell r="A1842">
            <v>44824</v>
          </cell>
          <cell r="B1842">
            <v>148.49876403808591</v>
          </cell>
          <cell r="C1842">
            <v>27.553348541259769</v>
          </cell>
          <cell r="D1842">
            <v>145.29290771484381</v>
          </cell>
          <cell r="E1842">
            <v>65.405158996582031</v>
          </cell>
          <cell r="F1842">
            <v>117.07509613037109</v>
          </cell>
        </row>
        <row r="1843">
          <cell r="A1843">
            <v>44825</v>
          </cell>
          <cell r="B1843">
            <v>146.3476257324219</v>
          </cell>
          <cell r="C1843">
            <v>27.087148666381839</v>
          </cell>
          <cell r="D1843">
            <v>141.3445739746094</v>
          </cell>
          <cell r="E1843">
            <v>64.099174499511719</v>
          </cell>
          <cell r="F1843">
            <v>116.93434906005859</v>
          </cell>
        </row>
        <row r="1844">
          <cell r="A1844">
            <v>44826</v>
          </cell>
          <cell r="B1844">
            <v>148.8457336425781</v>
          </cell>
          <cell r="C1844">
            <v>26.70657920837402</v>
          </cell>
          <cell r="D1844">
            <v>142.040771484375</v>
          </cell>
          <cell r="E1844">
            <v>63.407768249511719</v>
          </cell>
          <cell r="F1844">
            <v>116.05230712890619</v>
          </cell>
        </row>
        <row r="1845">
          <cell r="A1845">
            <v>44827</v>
          </cell>
          <cell r="B1845">
            <v>145.73298645019531</v>
          </cell>
          <cell r="C1845">
            <v>26.183292388916019</v>
          </cell>
          <cell r="D1845">
            <v>139.64390563964841</v>
          </cell>
          <cell r="E1845">
            <v>61.986537933349609</v>
          </cell>
          <cell r="F1845">
            <v>113.71588134765619</v>
          </cell>
        </row>
        <row r="1846">
          <cell r="A1846">
            <v>44830</v>
          </cell>
          <cell r="B1846">
            <v>145.04899597167969</v>
          </cell>
          <cell r="C1846">
            <v>25.660007476806641</v>
          </cell>
          <cell r="D1846">
            <v>135.6259460449219</v>
          </cell>
          <cell r="E1846">
            <v>60.930225372314453</v>
          </cell>
          <cell r="F1846">
            <v>112.3553085327148</v>
          </cell>
        </row>
        <row r="1847">
          <cell r="A1847">
            <v>44831</v>
          </cell>
          <cell r="B1847">
            <v>147.5966796875</v>
          </cell>
          <cell r="C1847">
            <v>25.583892822265621</v>
          </cell>
          <cell r="D1847">
            <v>133.66670227050781</v>
          </cell>
          <cell r="E1847">
            <v>59.941120147705078</v>
          </cell>
          <cell r="F1847">
            <v>112.9183044433594</v>
          </cell>
        </row>
        <row r="1848">
          <cell r="A1848">
            <v>44832</v>
          </cell>
          <cell r="B1848">
            <v>148.86555480957031</v>
          </cell>
          <cell r="C1848">
            <v>25.812234878540039</v>
          </cell>
          <cell r="D1848">
            <v>140.8373718261719</v>
          </cell>
          <cell r="E1848">
            <v>60.5653076171875</v>
          </cell>
          <cell r="F1848">
            <v>111.5952682495117</v>
          </cell>
        </row>
        <row r="1849">
          <cell r="A1849">
            <v>44833</v>
          </cell>
          <cell r="B1849">
            <v>145.53474426269531</v>
          </cell>
          <cell r="C1849">
            <v>25.098663330078121</v>
          </cell>
          <cell r="D1849">
            <v>135.6657409667969</v>
          </cell>
          <cell r="E1849">
            <v>58.961635589599609</v>
          </cell>
          <cell r="F1849">
            <v>107.7574920654297</v>
          </cell>
        </row>
        <row r="1850">
          <cell r="A1850">
            <v>44834</v>
          </cell>
          <cell r="B1850">
            <v>142.59053039550781</v>
          </cell>
          <cell r="C1850">
            <v>24.518295288085941</v>
          </cell>
          <cell r="D1850">
            <v>134.93971252441409</v>
          </cell>
          <cell r="E1850">
            <v>58.644741058349609</v>
          </cell>
          <cell r="F1850">
            <v>106.01220703125</v>
          </cell>
        </row>
        <row r="1851">
          <cell r="A1851">
            <v>44837</v>
          </cell>
          <cell r="B1851">
            <v>146.6152648925781</v>
          </cell>
          <cell r="C1851">
            <v>25.660007476806641</v>
          </cell>
          <cell r="D1851">
            <v>137.85374450683591</v>
          </cell>
          <cell r="E1851">
            <v>60.574913024902337</v>
          </cell>
          <cell r="F1851">
            <v>109.9907150268555</v>
          </cell>
        </row>
        <row r="1852">
          <cell r="A1852">
            <v>44838</v>
          </cell>
          <cell r="B1852">
            <v>154.37725830078119</v>
          </cell>
          <cell r="C1852">
            <v>26.354551315307621</v>
          </cell>
          <cell r="D1852">
            <v>139.5146179199219</v>
          </cell>
          <cell r="E1852">
            <v>63.081253051757813</v>
          </cell>
          <cell r="F1852">
            <v>114.823112487793</v>
          </cell>
        </row>
        <row r="1853">
          <cell r="A1853">
            <v>44839</v>
          </cell>
          <cell r="B1853">
            <v>154.87290954589841</v>
          </cell>
          <cell r="C1853">
            <v>26.29746246337891</v>
          </cell>
          <cell r="D1853">
            <v>138.22169494628909</v>
          </cell>
          <cell r="E1853">
            <v>63.993537902832031</v>
          </cell>
          <cell r="F1853">
            <v>117.1876907348633</v>
          </cell>
        </row>
        <row r="1854">
          <cell r="A1854">
            <v>44840</v>
          </cell>
          <cell r="B1854">
            <v>154.109619140625</v>
          </cell>
          <cell r="C1854">
            <v>25.859807968139648</v>
          </cell>
          <cell r="D1854">
            <v>138.31121826171881</v>
          </cell>
          <cell r="E1854">
            <v>62.706752777099609</v>
          </cell>
          <cell r="F1854">
            <v>117.5536422729492</v>
          </cell>
        </row>
        <row r="1855">
          <cell r="A1855">
            <v>44841</v>
          </cell>
          <cell r="B1855">
            <v>148.9844970703125</v>
          </cell>
          <cell r="C1855">
            <v>24.470722198486332</v>
          </cell>
          <cell r="D1855">
            <v>132.72187805175781</v>
          </cell>
          <cell r="E1855">
            <v>60.776573181152337</v>
          </cell>
          <cell r="F1855">
            <v>113.4531631469727</v>
          </cell>
        </row>
        <row r="1856">
          <cell r="A1856">
            <v>44844</v>
          </cell>
          <cell r="B1856">
            <v>144.3749084472656</v>
          </cell>
          <cell r="C1856">
            <v>23.975980758666989</v>
          </cell>
          <cell r="D1856">
            <v>133.0600280761719</v>
          </cell>
          <cell r="E1856">
            <v>60.085166931152337</v>
          </cell>
          <cell r="F1856">
            <v>107.5323104858398</v>
          </cell>
        </row>
        <row r="1857">
          <cell r="A1857">
            <v>44845</v>
          </cell>
          <cell r="B1857">
            <v>141.33158874511719</v>
          </cell>
          <cell r="C1857">
            <v>23.823751449584961</v>
          </cell>
          <cell r="D1857">
            <v>127.8386611938477</v>
          </cell>
          <cell r="E1857">
            <v>60.239601135253913</v>
          </cell>
          <cell r="F1857">
            <v>103.24415588378911</v>
          </cell>
        </row>
        <row r="1858">
          <cell r="A1858">
            <v>44846</v>
          </cell>
          <cell r="B1858">
            <v>141.05400085449219</v>
          </cell>
          <cell r="C1858">
            <v>24.099664688110352</v>
          </cell>
          <cell r="D1858">
            <v>126.80434417724609</v>
          </cell>
          <cell r="E1858">
            <v>61.561958312988281</v>
          </cell>
          <cell r="F1858">
            <v>101.9398727416992</v>
          </cell>
        </row>
        <row r="1859">
          <cell r="A1859">
            <v>44847</v>
          </cell>
          <cell r="B1859">
            <v>144.1766357421875</v>
          </cell>
          <cell r="C1859">
            <v>25.136722564697269</v>
          </cell>
          <cell r="D1859">
            <v>129.5791015625</v>
          </cell>
          <cell r="E1859">
            <v>62.932579040527337</v>
          </cell>
          <cell r="F1859">
            <v>105.8996124267578</v>
          </cell>
        </row>
        <row r="1860">
          <cell r="A1860">
            <v>44848</v>
          </cell>
          <cell r="B1860">
            <v>140.984619140625</v>
          </cell>
          <cell r="C1860">
            <v>24.651494979858398</v>
          </cell>
          <cell r="D1860">
            <v>126.06838226318359</v>
          </cell>
          <cell r="E1860">
            <v>62.073528289794922</v>
          </cell>
          <cell r="F1860">
            <v>103.16908264160161</v>
          </cell>
        </row>
        <row r="1861">
          <cell r="A1861">
            <v>44851</v>
          </cell>
          <cell r="B1861">
            <v>145.90153503417969</v>
          </cell>
          <cell r="C1861">
            <v>25.136722564697269</v>
          </cell>
          <cell r="D1861">
            <v>133.30865478515619</v>
          </cell>
          <cell r="E1861">
            <v>64.689277648925781</v>
          </cell>
          <cell r="F1861">
            <v>104.7079315185547</v>
          </cell>
        </row>
        <row r="1862">
          <cell r="A1862">
            <v>44852</v>
          </cell>
          <cell r="B1862">
            <v>152.19639587402341</v>
          </cell>
          <cell r="C1862">
            <v>24.613437652587891</v>
          </cell>
          <cell r="D1862">
            <v>132.075439453125</v>
          </cell>
          <cell r="E1862">
            <v>64.698936462402344</v>
          </cell>
          <cell r="F1862">
            <v>104.35137939453119</v>
          </cell>
        </row>
        <row r="1863">
          <cell r="A1863">
            <v>44853</v>
          </cell>
          <cell r="B1863">
            <v>152.33515930175781</v>
          </cell>
          <cell r="C1863">
            <v>24.73712158203125</v>
          </cell>
          <cell r="D1863">
            <v>132.50306701660159</v>
          </cell>
          <cell r="E1863">
            <v>63.994331359863281</v>
          </cell>
          <cell r="F1863">
            <v>105.89023590087891</v>
          </cell>
        </row>
        <row r="1864">
          <cell r="A1864">
            <v>44854</v>
          </cell>
          <cell r="B1864">
            <v>156.13188171386719</v>
          </cell>
          <cell r="C1864">
            <v>24.813238143920898</v>
          </cell>
          <cell r="D1864">
            <v>130.81236267089841</v>
          </cell>
          <cell r="E1864">
            <v>66.841751098632813</v>
          </cell>
          <cell r="F1864">
            <v>105.0738830566406</v>
          </cell>
        </row>
        <row r="1865">
          <cell r="A1865">
            <v>44855</v>
          </cell>
          <cell r="B1865">
            <v>158.7786865234375</v>
          </cell>
          <cell r="C1865">
            <v>25.660007476806641</v>
          </cell>
          <cell r="D1865">
            <v>129.3006286621094</v>
          </cell>
          <cell r="E1865">
            <v>70.171745300292969</v>
          </cell>
          <cell r="F1865">
            <v>108.6019973754883</v>
          </cell>
        </row>
        <row r="1866">
          <cell r="A1866">
            <v>44858</v>
          </cell>
          <cell r="B1866">
            <v>159.2545166015625</v>
          </cell>
          <cell r="C1866">
            <v>25.859807968139648</v>
          </cell>
          <cell r="D1866">
            <v>129.0122375488281</v>
          </cell>
          <cell r="E1866">
            <v>70.384101867675781</v>
          </cell>
          <cell r="F1866">
            <v>109.202522277832</v>
          </cell>
        </row>
        <row r="1867">
          <cell r="A1867">
            <v>44859</v>
          </cell>
          <cell r="B1867">
            <v>163.83439636230469</v>
          </cell>
          <cell r="C1867">
            <v>26.078634262084961</v>
          </cell>
          <cell r="D1867">
            <v>136.75971984863281</v>
          </cell>
          <cell r="E1867">
            <v>70.596458435058594</v>
          </cell>
          <cell r="F1867">
            <v>111.82044982910161</v>
          </cell>
        </row>
        <row r="1868">
          <cell r="A1868">
            <v>44860</v>
          </cell>
          <cell r="B1868">
            <v>158.52095031738281</v>
          </cell>
          <cell r="C1868">
            <v>25.888349533081051</v>
          </cell>
          <cell r="D1868">
            <v>129.11167907714841</v>
          </cell>
          <cell r="E1868">
            <v>72.218017578125</v>
          </cell>
          <cell r="F1868">
            <v>110.8258361816406</v>
          </cell>
        </row>
        <row r="1869">
          <cell r="A1869">
            <v>44861</v>
          </cell>
          <cell r="B1869">
            <v>158.36235046386719</v>
          </cell>
          <cell r="C1869">
            <v>24.9940071105957</v>
          </cell>
          <cell r="D1869">
            <v>97.405624389648438</v>
          </cell>
          <cell r="E1869">
            <v>72.536544799804688</v>
          </cell>
          <cell r="F1869">
            <v>107.6261367797852</v>
          </cell>
        </row>
        <row r="1870">
          <cell r="A1870">
            <v>44862</v>
          </cell>
          <cell r="B1870">
            <v>161.60392761230469</v>
          </cell>
          <cell r="C1870">
            <v>27.658004760742191</v>
          </cell>
          <cell r="D1870">
            <v>98.658744812011719</v>
          </cell>
          <cell r="E1870">
            <v>74.669700622558594</v>
          </cell>
          <cell r="F1870">
            <v>111.8580017089844</v>
          </cell>
        </row>
        <row r="1871">
          <cell r="A1871">
            <v>44865</v>
          </cell>
          <cell r="B1871">
            <v>161.17768859863281</v>
          </cell>
          <cell r="C1871">
            <v>27.049089431762699</v>
          </cell>
          <cell r="D1871">
            <v>92.651710510253906</v>
          </cell>
          <cell r="E1871">
            <v>75.355010986328125</v>
          </cell>
          <cell r="F1871">
            <v>110.4035949707031</v>
          </cell>
        </row>
        <row r="1872">
          <cell r="A1872">
            <v>44866</v>
          </cell>
          <cell r="B1872">
            <v>158.43174743652341</v>
          </cell>
          <cell r="C1872">
            <v>26.9254035949707</v>
          </cell>
          <cell r="D1872">
            <v>94.680580139160156</v>
          </cell>
          <cell r="E1872">
            <v>74.428390502929688</v>
          </cell>
          <cell r="F1872">
            <v>110.0939407348633</v>
          </cell>
        </row>
        <row r="1873">
          <cell r="A1873">
            <v>44867</v>
          </cell>
          <cell r="B1873">
            <v>148.70695495605469</v>
          </cell>
          <cell r="C1873">
            <v>26.088150024414059</v>
          </cell>
          <cell r="D1873">
            <v>90.045997619628906</v>
          </cell>
          <cell r="E1873">
            <v>72.507606506347656</v>
          </cell>
          <cell r="F1873">
            <v>105.5618133544922</v>
          </cell>
        </row>
        <row r="1874">
          <cell r="A1874">
            <v>44868</v>
          </cell>
          <cell r="B1874">
            <v>145.05889892578119</v>
          </cell>
          <cell r="C1874">
            <v>26.05960655212402</v>
          </cell>
          <cell r="D1874">
            <v>88.424903869628906</v>
          </cell>
          <cell r="E1874">
            <v>72.420730590820313</v>
          </cell>
          <cell r="F1874">
            <v>97.473434448242188</v>
          </cell>
        </row>
        <row r="1875">
          <cell r="A1875">
            <v>44869</v>
          </cell>
          <cell r="B1875">
            <v>138.55589294433591</v>
          </cell>
          <cell r="C1875">
            <v>27.192636489868161</v>
          </cell>
          <cell r="D1875">
            <v>90.294631958007813</v>
          </cell>
          <cell r="E1875">
            <v>73.35699462890625</v>
          </cell>
          <cell r="F1875">
            <v>100.1101379394531</v>
          </cell>
        </row>
        <row r="1876">
          <cell r="A1876">
            <v>44872</v>
          </cell>
          <cell r="B1876">
            <v>143.33403015136719</v>
          </cell>
          <cell r="C1876">
            <v>27.395132064819339</v>
          </cell>
          <cell r="D1876">
            <v>96.192276000976563</v>
          </cell>
          <cell r="E1876">
            <v>74.071258544921875</v>
          </cell>
          <cell r="F1876">
            <v>103.30043792724609</v>
          </cell>
        </row>
        <row r="1877">
          <cell r="A1877">
            <v>44873</v>
          </cell>
          <cell r="B1877">
            <v>145.8222351074219</v>
          </cell>
          <cell r="C1877">
            <v>27.462627410888668</v>
          </cell>
          <cell r="D1877">
            <v>95.943641662597656</v>
          </cell>
          <cell r="E1877">
            <v>73.009506225585938</v>
          </cell>
          <cell r="F1877">
            <v>105.59934234619141</v>
          </cell>
        </row>
        <row r="1878">
          <cell r="A1878">
            <v>44874</v>
          </cell>
          <cell r="B1878">
            <v>140.82598876953119</v>
          </cell>
          <cell r="C1878">
            <v>26.536924362182621</v>
          </cell>
          <cell r="D1878">
            <v>100.91636657714839</v>
          </cell>
          <cell r="E1878">
            <v>73.028816223144531</v>
          </cell>
          <cell r="F1878">
            <v>103.6194763183594</v>
          </cell>
        </row>
        <row r="1879">
          <cell r="A1879">
            <v>44875</v>
          </cell>
          <cell r="B1879">
            <v>154.94232177734381</v>
          </cell>
          <cell r="C1879">
            <v>28.696905136108398</v>
          </cell>
          <cell r="D1879">
            <v>111.25962066650391</v>
          </cell>
          <cell r="E1879">
            <v>74.486297607421875</v>
          </cell>
          <cell r="F1879">
            <v>113.2373352050781</v>
          </cell>
        </row>
        <row r="1880">
          <cell r="A1880">
            <v>44876</v>
          </cell>
          <cell r="B1880">
            <v>156.35987854003909</v>
          </cell>
          <cell r="C1880">
            <v>29.342971801757809</v>
          </cell>
          <cell r="D1880">
            <v>112.40334320068359</v>
          </cell>
          <cell r="E1880">
            <v>75.036476135253906</v>
          </cell>
          <cell r="F1880">
            <v>113.9410781860352</v>
          </cell>
        </row>
        <row r="1881">
          <cell r="A1881">
            <v>44879</v>
          </cell>
          <cell r="B1881">
            <v>157.28181457519531</v>
          </cell>
          <cell r="C1881">
            <v>29.265829086303711</v>
          </cell>
          <cell r="D1881">
            <v>113.596809387207</v>
          </cell>
          <cell r="E1881">
            <v>75.799003601074219</v>
          </cell>
          <cell r="F1881">
            <v>113.3499450683594</v>
          </cell>
        </row>
        <row r="1882">
          <cell r="A1882">
            <v>44880</v>
          </cell>
          <cell r="B1882">
            <v>160.6622009277344</v>
          </cell>
          <cell r="C1882">
            <v>29.612970352172852</v>
          </cell>
          <cell r="D1882">
            <v>116.4412002563477</v>
          </cell>
          <cell r="E1882">
            <v>76.426406860351563</v>
          </cell>
          <cell r="F1882">
            <v>118.2480087280273</v>
          </cell>
        </row>
        <row r="1883">
          <cell r="A1883">
            <v>44881</v>
          </cell>
          <cell r="B1883">
            <v>153.7725830078125</v>
          </cell>
          <cell r="C1883">
            <v>28.475124359130859</v>
          </cell>
          <cell r="D1883">
            <v>112.61220550537109</v>
          </cell>
          <cell r="E1883">
            <v>77.111709594726563</v>
          </cell>
          <cell r="F1883">
            <v>113.2842636108398</v>
          </cell>
        </row>
        <row r="1884">
          <cell r="A1884">
            <v>44882</v>
          </cell>
          <cell r="B1884">
            <v>148.3897399902344</v>
          </cell>
          <cell r="C1884">
            <v>28.822263717651371</v>
          </cell>
          <cell r="D1884">
            <v>110.841911315918</v>
          </cell>
          <cell r="E1884">
            <v>76.445701599121094</v>
          </cell>
          <cell r="F1884">
            <v>115.2829055786133</v>
          </cell>
        </row>
        <row r="1885">
          <cell r="A1885">
            <v>44883</v>
          </cell>
          <cell r="B1885">
            <v>146.7540588378906</v>
          </cell>
          <cell r="C1885">
            <v>28.802978515625</v>
          </cell>
          <cell r="D1885">
            <v>111.4386444091797</v>
          </cell>
          <cell r="E1885">
            <v>76.957275390625</v>
          </cell>
          <cell r="F1885">
            <v>116.2118225097656</v>
          </cell>
        </row>
        <row r="1886">
          <cell r="A1886">
            <v>44886</v>
          </cell>
          <cell r="B1886">
            <v>143.5917663574219</v>
          </cell>
          <cell r="C1886">
            <v>27.906198501586911</v>
          </cell>
          <cell r="D1886">
            <v>109.2605895996094</v>
          </cell>
          <cell r="E1886">
            <v>77.044143676757813</v>
          </cell>
          <cell r="F1886">
            <v>112.7869415283203</v>
          </cell>
        </row>
        <row r="1887">
          <cell r="A1887">
            <v>44887</v>
          </cell>
          <cell r="B1887">
            <v>147.95355224609381</v>
          </cell>
          <cell r="C1887">
            <v>28.754762649536129</v>
          </cell>
          <cell r="D1887">
            <v>110.83197021484381</v>
          </cell>
          <cell r="E1887">
            <v>79.264175415039063</v>
          </cell>
          <cell r="F1887">
            <v>116.0241622924805</v>
          </cell>
        </row>
        <row r="1888">
          <cell r="A1888">
            <v>44888</v>
          </cell>
          <cell r="B1888">
            <v>150.91758728027341</v>
          </cell>
          <cell r="C1888">
            <v>28.610122680664059</v>
          </cell>
          <cell r="D1888">
            <v>111.6276016235352</v>
          </cell>
          <cell r="E1888">
            <v>79.688858032226563</v>
          </cell>
          <cell r="F1888">
            <v>117.43166351318359</v>
          </cell>
        </row>
        <row r="1889">
          <cell r="A1889">
            <v>44890</v>
          </cell>
          <cell r="B1889">
            <v>152.01792907714841</v>
          </cell>
          <cell r="C1889">
            <v>28.29190826416016</v>
          </cell>
          <cell r="D1889">
            <v>110.80214691162109</v>
          </cell>
          <cell r="E1889">
            <v>79.843307495117188</v>
          </cell>
          <cell r="F1889">
            <v>115.8365020751953</v>
          </cell>
        </row>
        <row r="1890">
          <cell r="A1890">
            <v>44893</v>
          </cell>
          <cell r="B1890">
            <v>152.35499572753909</v>
          </cell>
          <cell r="C1890">
            <v>27.703701019287109</v>
          </cell>
          <cell r="D1890">
            <v>108.1864776611328</v>
          </cell>
          <cell r="E1890">
            <v>78.559547424316406</v>
          </cell>
          <cell r="F1890">
            <v>112.1676483154297</v>
          </cell>
        </row>
        <row r="1891">
          <cell r="A1891">
            <v>44894</v>
          </cell>
          <cell r="B1891">
            <v>150.3624267578125</v>
          </cell>
          <cell r="C1891">
            <v>27.86762809753418</v>
          </cell>
          <cell r="D1891">
            <v>108.86277770996089</v>
          </cell>
          <cell r="E1891">
            <v>78.038330078125</v>
          </cell>
          <cell r="F1891">
            <v>111.0791778564453</v>
          </cell>
        </row>
        <row r="1892">
          <cell r="A1892">
            <v>44895</v>
          </cell>
          <cell r="B1892">
            <v>158.85798645019531</v>
          </cell>
          <cell r="C1892">
            <v>28.995832443237301</v>
          </cell>
          <cell r="D1892">
            <v>117.4556350708008</v>
          </cell>
          <cell r="E1892">
            <v>80.142509460449219</v>
          </cell>
          <cell r="F1892">
            <v>119.44577789306641</v>
          </cell>
        </row>
        <row r="1893">
          <cell r="A1893">
            <v>44896</v>
          </cell>
          <cell r="B1893">
            <v>145.72308349609381</v>
          </cell>
          <cell r="C1893">
            <v>28.764406204223629</v>
          </cell>
          <cell r="D1893">
            <v>119.7828674316406</v>
          </cell>
          <cell r="E1893">
            <v>81.184951782226563</v>
          </cell>
          <cell r="F1893">
            <v>119.7479553222656</v>
          </cell>
        </row>
        <row r="1894">
          <cell r="A1894">
            <v>44897</v>
          </cell>
          <cell r="B1894">
            <v>143.30430603027341</v>
          </cell>
          <cell r="C1894">
            <v>28.359407424926761</v>
          </cell>
          <cell r="D1894">
            <v>122.8162155151367</v>
          </cell>
          <cell r="E1894">
            <v>80.451362609863281</v>
          </cell>
          <cell r="F1894">
            <v>118.661994934082</v>
          </cell>
        </row>
        <row r="1895">
          <cell r="A1895">
            <v>44900</v>
          </cell>
          <cell r="B1895">
            <v>132.7666320800781</v>
          </cell>
          <cell r="C1895">
            <v>28.127983093261719</v>
          </cell>
          <cell r="D1895">
            <v>121.7620010375977</v>
          </cell>
          <cell r="E1895">
            <v>76.667709350585938</v>
          </cell>
          <cell r="F1895">
            <v>116.4334182739258</v>
          </cell>
        </row>
        <row r="1896">
          <cell r="A1896">
            <v>44901</v>
          </cell>
          <cell r="B1896">
            <v>132.11236572265619</v>
          </cell>
          <cell r="C1896">
            <v>27.57834434509277</v>
          </cell>
          <cell r="D1896">
            <v>113.4973449707031</v>
          </cell>
          <cell r="E1896">
            <v>76.165794372558594</v>
          </cell>
          <cell r="F1896">
            <v>113.1094512939453</v>
          </cell>
        </row>
        <row r="1897">
          <cell r="A1897">
            <v>44902</v>
          </cell>
          <cell r="B1897">
            <v>129.3465881347656</v>
          </cell>
          <cell r="C1897">
            <v>27.317989349365231</v>
          </cell>
          <cell r="D1897">
            <v>113.3083801269531</v>
          </cell>
          <cell r="E1897">
            <v>76.040313720703125</v>
          </cell>
          <cell r="F1897">
            <v>111.6268768310547</v>
          </cell>
        </row>
        <row r="1898">
          <cell r="A1898">
            <v>44903</v>
          </cell>
          <cell r="B1898">
            <v>128.99964904785159</v>
          </cell>
          <cell r="C1898">
            <v>27.4240608215332</v>
          </cell>
          <cell r="D1898">
            <v>114.70074462890619</v>
          </cell>
          <cell r="E1898">
            <v>77.285453796386719</v>
          </cell>
          <cell r="F1898">
            <v>114.96974945068359</v>
          </cell>
        </row>
        <row r="1899">
          <cell r="A1899">
            <v>44904</v>
          </cell>
          <cell r="B1899">
            <v>129.97113037109381</v>
          </cell>
          <cell r="C1899">
            <v>27.231203079223629</v>
          </cell>
          <cell r="D1899">
            <v>115.2676315307617</v>
          </cell>
          <cell r="E1899">
            <v>77.082748413085938</v>
          </cell>
          <cell r="F1899">
            <v>112.4201126098633</v>
          </cell>
        </row>
        <row r="1900">
          <cell r="A1900">
            <v>44907</v>
          </cell>
          <cell r="B1900">
            <v>131.9537658691406</v>
          </cell>
          <cell r="C1900">
            <v>27.665128707885739</v>
          </cell>
          <cell r="D1900">
            <v>114.08412170410161</v>
          </cell>
          <cell r="E1900">
            <v>78.453369140625</v>
          </cell>
          <cell r="F1900">
            <v>114.4598083496094</v>
          </cell>
        </row>
        <row r="1901">
          <cell r="A1901">
            <v>44908</v>
          </cell>
          <cell r="B1901">
            <v>134.44197082519531</v>
          </cell>
          <cell r="C1901">
            <v>27.703701019287109</v>
          </cell>
          <cell r="D1901">
            <v>119.4944381713867</v>
          </cell>
          <cell r="E1901">
            <v>77.758415222167969</v>
          </cell>
          <cell r="F1901">
            <v>116.6128311157227</v>
          </cell>
        </row>
        <row r="1902">
          <cell r="A1902">
            <v>44909</v>
          </cell>
          <cell r="B1902">
            <v>133.57948303222659</v>
          </cell>
          <cell r="C1902">
            <v>27.250490188598629</v>
          </cell>
          <cell r="D1902">
            <v>120.9265823364258</v>
          </cell>
          <cell r="E1902">
            <v>78.974601745605469</v>
          </cell>
          <cell r="F1902">
            <v>114.9319610595703</v>
          </cell>
        </row>
        <row r="1903">
          <cell r="A1903">
            <v>44910</v>
          </cell>
          <cell r="B1903">
            <v>129.30694580078119</v>
          </cell>
          <cell r="C1903">
            <v>26.180141448974609</v>
          </cell>
          <cell r="D1903">
            <v>115.5162658691406</v>
          </cell>
          <cell r="E1903">
            <v>77.285453796386719</v>
          </cell>
          <cell r="F1903">
            <v>110.1443328857422</v>
          </cell>
        </row>
        <row r="1904">
          <cell r="A1904">
            <v>44911</v>
          </cell>
          <cell r="B1904">
            <v>127.1557922363281</v>
          </cell>
          <cell r="C1904">
            <v>25.958358764648441</v>
          </cell>
          <cell r="D1904">
            <v>118.7783737182617</v>
          </cell>
          <cell r="E1904">
            <v>76.812484741210938</v>
          </cell>
          <cell r="F1904">
            <v>108.1518249511719</v>
          </cell>
        </row>
        <row r="1905">
          <cell r="A1905">
            <v>44914</v>
          </cell>
          <cell r="B1905">
            <v>127.8893661499023</v>
          </cell>
          <cell r="C1905">
            <v>25.833002090454102</v>
          </cell>
          <cell r="D1905">
            <v>113.85536956787109</v>
          </cell>
          <cell r="E1905">
            <v>77.700492858886719</v>
          </cell>
          <cell r="F1905">
            <v>106.338752746582</v>
          </cell>
        </row>
        <row r="1906">
          <cell r="A1906">
            <v>44915</v>
          </cell>
          <cell r="B1906">
            <v>127.3342208862305</v>
          </cell>
          <cell r="C1906">
            <v>25.49550628662109</v>
          </cell>
          <cell r="D1906">
            <v>116.4511337280273</v>
          </cell>
          <cell r="E1906">
            <v>78.125205993652344</v>
          </cell>
          <cell r="F1906">
            <v>105.8571472167969</v>
          </cell>
        </row>
        <row r="1907">
          <cell r="A1907">
            <v>44916</v>
          </cell>
          <cell r="B1907">
            <v>129.16813659667969</v>
          </cell>
          <cell r="C1907">
            <v>25.871572494506839</v>
          </cell>
          <cell r="D1907">
            <v>119.1065673828125</v>
          </cell>
          <cell r="E1907">
            <v>78.665725708007813</v>
          </cell>
          <cell r="F1907">
            <v>108.20848083496089</v>
          </cell>
        </row>
        <row r="1908">
          <cell r="A1908">
            <v>44917</v>
          </cell>
          <cell r="B1908">
            <v>128.06779479980469</v>
          </cell>
          <cell r="C1908">
            <v>25.042293548583981</v>
          </cell>
          <cell r="D1908">
            <v>116.48097991943359</v>
          </cell>
          <cell r="E1908">
            <v>77.690849304199219</v>
          </cell>
          <cell r="F1908">
            <v>104.516242980957</v>
          </cell>
        </row>
        <row r="1909">
          <cell r="A1909">
            <v>44918</v>
          </cell>
          <cell r="B1909">
            <v>128.31562805175781</v>
          </cell>
          <cell r="C1909">
            <v>25.15800666809082</v>
          </cell>
          <cell r="D1909">
            <v>117.3959655761719</v>
          </cell>
          <cell r="E1909">
            <v>78.038330078125</v>
          </cell>
          <cell r="F1909">
            <v>104.6673126220703</v>
          </cell>
        </row>
        <row r="1910">
          <cell r="A1910">
            <v>44922</v>
          </cell>
          <cell r="B1910">
            <v>129.5250244140625</v>
          </cell>
          <cell r="C1910">
            <v>25.013364791870121</v>
          </cell>
          <cell r="D1910">
            <v>116.24228668212891</v>
          </cell>
          <cell r="E1910">
            <v>78.163803100585938</v>
          </cell>
          <cell r="F1910">
            <v>103.3641662597656</v>
          </cell>
        </row>
        <row r="1911">
          <cell r="A1911">
            <v>44923</v>
          </cell>
          <cell r="B1911">
            <v>127.3540573120117</v>
          </cell>
          <cell r="C1911">
            <v>24.627655029296879</v>
          </cell>
          <cell r="D1911">
            <v>114.9891738891602</v>
          </cell>
          <cell r="E1911">
            <v>77.536407470703125</v>
          </cell>
          <cell r="F1911">
            <v>101.01284027099609</v>
          </cell>
        </row>
        <row r="1912">
          <cell r="A1912">
            <v>44924</v>
          </cell>
          <cell r="B1912">
            <v>131.38868713378909</v>
          </cell>
          <cell r="C1912">
            <v>25.27371978759766</v>
          </cell>
          <cell r="D1912">
            <v>119.6038513183594</v>
          </cell>
          <cell r="E1912">
            <v>78.569206237792969</v>
          </cell>
          <cell r="F1912">
            <v>103.72299957275391</v>
          </cell>
        </row>
        <row r="1913">
          <cell r="A1913">
            <v>44925</v>
          </cell>
          <cell r="B1913">
            <v>131.4382629394531</v>
          </cell>
          <cell r="C1913">
            <v>25.485860824584961</v>
          </cell>
          <cell r="D1913">
            <v>119.6834030151367</v>
          </cell>
          <cell r="E1913">
            <v>78.897354125976563</v>
          </cell>
          <cell r="F1913">
            <v>103.8174514770508</v>
          </cell>
        </row>
        <row r="1914">
          <cell r="A1914">
            <v>44929</v>
          </cell>
          <cell r="B1914">
            <v>133.60923767089841</v>
          </cell>
          <cell r="C1914">
            <v>25.775144577026371</v>
          </cell>
          <cell r="D1914">
            <v>124.0594024658203</v>
          </cell>
          <cell r="E1914">
            <v>80.808509826660156</v>
          </cell>
          <cell r="F1914">
            <v>101.2300262451172</v>
          </cell>
        </row>
        <row r="1915">
          <cell r="A1915">
            <v>44930</v>
          </cell>
          <cell r="B1915">
            <v>138.37745666503909</v>
          </cell>
          <cell r="C1915">
            <v>26.69120979309082</v>
          </cell>
          <cell r="D1915">
            <v>126.6750564575195</v>
          </cell>
          <cell r="E1915">
            <v>81.542091369628906</v>
          </cell>
          <cell r="F1915">
            <v>105.3189010620117</v>
          </cell>
        </row>
        <row r="1916">
          <cell r="A1916">
            <v>44931</v>
          </cell>
          <cell r="B1916">
            <v>135.15568542480469</v>
          </cell>
          <cell r="C1916">
            <v>26.575494766235352</v>
          </cell>
          <cell r="D1916">
            <v>126.2473983764648</v>
          </cell>
          <cell r="E1916">
            <v>81.37799072265625</v>
          </cell>
          <cell r="F1916">
            <v>103.30751800537109</v>
          </cell>
        </row>
        <row r="1917">
          <cell r="A1917">
            <v>44932</v>
          </cell>
          <cell r="B1917">
            <v>139.28947448730469</v>
          </cell>
          <cell r="C1917">
            <v>27.703701019287109</v>
          </cell>
          <cell r="D1917">
            <v>129.31062316894531</v>
          </cell>
          <cell r="E1917">
            <v>82.681060791015625</v>
          </cell>
          <cell r="F1917">
            <v>108.91672515869141</v>
          </cell>
        </row>
        <row r="1918">
          <cell r="A1918">
            <v>44935</v>
          </cell>
          <cell r="B1918">
            <v>145.8222351074219</v>
          </cell>
          <cell r="C1918">
            <v>28.262979507446289</v>
          </cell>
          <cell r="D1918">
            <v>128.76361083984381</v>
          </cell>
          <cell r="E1918">
            <v>83.727409362792969</v>
          </cell>
          <cell r="F1918">
            <v>108.2273635864258</v>
          </cell>
        </row>
        <row r="1919">
          <cell r="A1919">
            <v>44936</v>
          </cell>
          <cell r="B1919">
            <v>146.1592712402344</v>
          </cell>
          <cell r="C1919">
            <v>28.388338088989261</v>
          </cell>
          <cell r="D1919">
            <v>132.264404296875</v>
          </cell>
          <cell r="E1919">
            <v>83.804916381835938</v>
          </cell>
          <cell r="F1919">
            <v>110.39927673339839</v>
          </cell>
        </row>
        <row r="1920">
          <cell r="A1920">
            <v>44937</v>
          </cell>
          <cell r="B1920">
            <v>143.6413269042969</v>
          </cell>
          <cell r="C1920">
            <v>28.78369140625</v>
          </cell>
          <cell r="D1920">
            <v>132.16493225097659</v>
          </cell>
          <cell r="E1920">
            <v>85.839485168457031</v>
          </cell>
          <cell r="F1920">
            <v>111.7968673706055</v>
          </cell>
        </row>
        <row r="1921">
          <cell r="A1921">
            <v>44938</v>
          </cell>
          <cell r="B1921">
            <v>148.30052185058591</v>
          </cell>
          <cell r="C1921">
            <v>29.20797157287598</v>
          </cell>
          <cell r="D1921">
            <v>135.96409606933591</v>
          </cell>
          <cell r="E1921">
            <v>86.013870239257813</v>
          </cell>
          <cell r="F1921">
            <v>114.8186569213867</v>
          </cell>
        </row>
        <row r="1922">
          <cell r="A1922">
            <v>44939</v>
          </cell>
          <cell r="B1922">
            <v>148.2112731933594</v>
          </cell>
          <cell r="C1922">
            <v>29.034402847290039</v>
          </cell>
          <cell r="D1922">
            <v>136.2326354980469</v>
          </cell>
          <cell r="E1922">
            <v>86.4207763671875</v>
          </cell>
          <cell r="F1922">
            <v>113.543830871582</v>
          </cell>
        </row>
        <row r="1923">
          <cell r="A1923">
            <v>44943</v>
          </cell>
          <cell r="B1923">
            <v>147.1803283691406</v>
          </cell>
          <cell r="C1923">
            <v>28.542623519897461</v>
          </cell>
          <cell r="D1923">
            <v>134.6214599609375</v>
          </cell>
          <cell r="E1923">
            <v>85.839485168457031</v>
          </cell>
          <cell r="F1923">
            <v>113.58160400390619</v>
          </cell>
        </row>
        <row r="1924">
          <cell r="A1924">
            <v>44944</v>
          </cell>
          <cell r="B1924">
            <v>144.18653869628909</v>
          </cell>
          <cell r="C1924">
            <v>27.780841827392582</v>
          </cell>
          <cell r="D1924">
            <v>132.29423522949219</v>
          </cell>
          <cell r="E1924">
            <v>84.008369445800781</v>
          </cell>
          <cell r="F1924">
            <v>115.2435989379883</v>
          </cell>
        </row>
        <row r="1925">
          <cell r="A1925">
            <v>44945</v>
          </cell>
          <cell r="B1925">
            <v>145.13822937011719</v>
          </cell>
          <cell r="C1925">
            <v>27.404775619506839</v>
          </cell>
          <cell r="D1925">
            <v>135.4071350097656</v>
          </cell>
          <cell r="E1925">
            <v>83.262351989746094</v>
          </cell>
          <cell r="F1925">
            <v>111.03195953369141</v>
          </cell>
        </row>
        <row r="1926">
          <cell r="A1926">
            <v>44946</v>
          </cell>
          <cell r="B1926">
            <v>149.9361877441406</v>
          </cell>
          <cell r="C1926">
            <v>28.17619514465332</v>
          </cell>
          <cell r="D1926">
            <v>138.60957336425781</v>
          </cell>
          <cell r="E1926">
            <v>84.531532287597656</v>
          </cell>
          <cell r="F1926">
            <v>116.0557022094727</v>
          </cell>
        </row>
        <row r="1927">
          <cell r="A1927">
            <v>44949</v>
          </cell>
          <cell r="B1927">
            <v>154.51603698730469</v>
          </cell>
          <cell r="C1927">
            <v>29.188690185546879</v>
          </cell>
          <cell r="D1927">
            <v>142.48829650878909</v>
          </cell>
          <cell r="E1927">
            <v>86.197959899902344</v>
          </cell>
          <cell r="F1927">
            <v>123.7329406738281</v>
          </cell>
        </row>
        <row r="1928">
          <cell r="A1928">
            <v>44950</v>
          </cell>
          <cell r="B1928">
            <v>153.5148010253906</v>
          </cell>
          <cell r="C1928">
            <v>28.851190567016602</v>
          </cell>
          <cell r="D1928">
            <v>142.3590087890625</v>
          </cell>
          <cell r="E1928">
            <v>86.90521240234375</v>
          </cell>
          <cell r="F1928">
            <v>123.42132568359381</v>
          </cell>
        </row>
        <row r="1929">
          <cell r="A1929">
            <v>44951</v>
          </cell>
          <cell r="B1929">
            <v>154.8134460449219</v>
          </cell>
          <cell r="C1929">
            <v>28.63905143737793</v>
          </cell>
          <cell r="D1929">
            <v>140.72795104980469</v>
          </cell>
          <cell r="E1929">
            <v>86.847068786621094</v>
          </cell>
          <cell r="F1929">
            <v>123.86512756347661</v>
          </cell>
        </row>
        <row r="1930">
          <cell r="A1930">
            <v>44952</v>
          </cell>
          <cell r="B1930">
            <v>163.65594482421881</v>
          </cell>
          <cell r="C1930">
            <v>29.015117645263668</v>
          </cell>
          <cell r="D1930">
            <v>146.4963073730469</v>
          </cell>
          <cell r="E1930">
            <v>87.031166076660156</v>
          </cell>
          <cell r="F1930">
            <v>126.49977111816411</v>
          </cell>
        </row>
        <row r="1931">
          <cell r="A1931">
            <v>44953</v>
          </cell>
          <cell r="B1931">
            <v>163.09092712402341</v>
          </cell>
          <cell r="C1931">
            <v>27.154060363769531</v>
          </cell>
          <cell r="D1931">
            <v>150.9120788574219</v>
          </cell>
          <cell r="E1931">
            <v>86.217315673828125</v>
          </cell>
          <cell r="F1931">
            <v>125.97096252441411</v>
          </cell>
        </row>
        <row r="1932">
          <cell r="A1932">
            <v>44956</v>
          </cell>
          <cell r="B1932">
            <v>163.31892395019531</v>
          </cell>
          <cell r="C1932">
            <v>26.951564788818359</v>
          </cell>
          <cell r="D1932">
            <v>146.25761413574219</v>
          </cell>
          <cell r="E1932">
            <v>84.628433227539063</v>
          </cell>
          <cell r="F1932">
            <v>124.29953765869141</v>
          </cell>
        </row>
        <row r="1933">
          <cell r="A1933">
            <v>44957</v>
          </cell>
          <cell r="B1933">
            <v>166.51094055175781</v>
          </cell>
          <cell r="C1933">
            <v>27.250490188598629</v>
          </cell>
          <cell r="D1933">
            <v>148.15721130371091</v>
          </cell>
          <cell r="E1933">
            <v>85.703834533691406</v>
          </cell>
          <cell r="F1933">
            <v>125.7915344238281</v>
          </cell>
        </row>
        <row r="1934">
          <cell r="A1934">
            <v>44958</v>
          </cell>
          <cell r="B1934">
            <v>170.3274841308594</v>
          </cell>
          <cell r="C1934">
            <v>28.03155517578125</v>
          </cell>
          <cell r="D1934">
            <v>152.28456115722659</v>
          </cell>
          <cell r="E1934">
            <v>87.244300842285156</v>
          </cell>
          <cell r="F1934">
            <v>130.7491760253906</v>
          </cell>
        </row>
        <row r="1935">
          <cell r="A1935">
            <v>44959</v>
          </cell>
          <cell r="B1935">
            <v>173.12300109863281</v>
          </cell>
          <cell r="C1935">
            <v>29.111545562744141</v>
          </cell>
          <cell r="D1935">
            <v>187.74005126953119</v>
          </cell>
          <cell r="E1935">
            <v>86.595176696777344</v>
          </cell>
          <cell r="F1935">
            <v>128.28453063964841</v>
          </cell>
        </row>
        <row r="1936">
          <cell r="A1936">
            <v>44960</v>
          </cell>
          <cell r="B1936">
            <v>169.55426025390619</v>
          </cell>
          <cell r="C1936">
            <v>29.23690032958984</v>
          </cell>
          <cell r="D1936">
            <v>185.51226806640619</v>
          </cell>
          <cell r="E1936">
            <v>86.827690124511719</v>
          </cell>
          <cell r="F1936">
            <v>127.50074768066411</v>
          </cell>
        </row>
        <row r="1937">
          <cell r="A1937">
            <v>44963</v>
          </cell>
          <cell r="B1937">
            <v>167.58155822753909</v>
          </cell>
          <cell r="C1937">
            <v>28.002225875854489</v>
          </cell>
          <cell r="D1937">
            <v>185.0448303222656</v>
          </cell>
          <cell r="E1937">
            <v>85.77166748046875</v>
          </cell>
          <cell r="F1937">
            <v>125.52711486816411</v>
          </cell>
        </row>
        <row r="1938">
          <cell r="A1938">
            <v>44964</v>
          </cell>
          <cell r="B1938">
            <v>169.79217529296881</v>
          </cell>
          <cell r="C1938">
            <v>28.353595733642582</v>
          </cell>
          <cell r="D1938">
            <v>190.5744934082031</v>
          </cell>
          <cell r="E1938">
            <v>85.00628662109375</v>
          </cell>
          <cell r="F1938">
            <v>129.0210876464844</v>
          </cell>
        </row>
        <row r="1939">
          <cell r="A1939">
            <v>44965</v>
          </cell>
          <cell r="B1939">
            <v>168.15653991699219</v>
          </cell>
          <cell r="C1939">
            <v>27.563014984130859</v>
          </cell>
          <cell r="D1939">
            <v>182.42918395996091</v>
          </cell>
          <cell r="E1939">
            <v>83.988983154296875</v>
          </cell>
          <cell r="F1939">
            <v>124.8094482421875</v>
          </cell>
        </row>
        <row r="1940">
          <cell r="A1940">
            <v>44966</v>
          </cell>
          <cell r="B1940">
            <v>172.15153503417969</v>
          </cell>
          <cell r="C1940">
            <v>27.065238952636719</v>
          </cell>
          <cell r="D1940">
            <v>176.94923400878909</v>
          </cell>
          <cell r="E1940">
            <v>83.950233459472656</v>
          </cell>
          <cell r="F1940">
            <v>123.2607727050781</v>
          </cell>
        </row>
        <row r="1941">
          <cell r="A1941">
            <v>44967</v>
          </cell>
          <cell r="B1941">
            <v>165.57911682128909</v>
          </cell>
          <cell r="C1941">
            <v>27.133562088012699</v>
          </cell>
          <cell r="D1941">
            <v>173.19981384277341</v>
          </cell>
          <cell r="E1941">
            <v>84.424972534179688</v>
          </cell>
          <cell r="F1941">
            <v>121.8065567016602</v>
          </cell>
        </row>
        <row r="1942">
          <cell r="A1942">
            <v>44970</v>
          </cell>
          <cell r="B1942">
            <v>169.59391784667969</v>
          </cell>
          <cell r="C1942">
            <v>27.865581512451168</v>
          </cell>
          <cell r="D1942">
            <v>178.45098876953119</v>
          </cell>
          <cell r="E1942">
            <v>86.633918762207031</v>
          </cell>
          <cell r="F1942">
            <v>123.5535125732422</v>
          </cell>
        </row>
        <row r="1943">
          <cell r="A1943">
            <v>44971</v>
          </cell>
          <cell r="B1943">
            <v>168.48365783691409</v>
          </cell>
          <cell r="C1943">
            <v>27.953428268432621</v>
          </cell>
          <cell r="D1943">
            <v>178.50074768066409</v>
          </cell>
          <cell r="E1943">
            <v>86.314216613769531</v>
          </cell>
          <cell r="F1943">
            <v>124.96999359130859</v>
          </cell>
        </row>
        <row r="1944">
          <cell r="A1944">
            <v>44972</v>
          </cell>
          <cell r="B1944">
            <v>169.61376953125</v>
          </cell>
          <cell r="C1944">
            <v>28.158393859863281</v>
          </cell>
          <cell r="D1944">
            <v>176.1933898925781</v>
          </cell>
          <cell r="E1944">
            <v>85.58758544921875</v>
          </cell>
          <cell r="F1944">
            <v>125.6593399047852</v>
          </cell>
        </row>
        <row r="1945">
          <cell r="A1945">
            <v>44973</v>
          </cell>
          <cell r="B1945">
            <v>166.64971923828119</v>
          </cell>
          <cell r="C1945">
            <v>27.52397537231445</v>
          </cell>
          <cell r="D1945">
            <v>171.4991455078125</v>
          </cell>
          <cell r="E1945">
            <v>84.986900329589844</v>
          </cell>
          <cell r="F1945">
            <v>122.91139984130859</v>
          </cell>
        </row>
        <row r="1946">
          <cell r="A1946">
            <v>44974</v>
          </cell>
          <cell r="B1946">
            <v>163.73527526855469</v>
          </cell>
          <cell r="C1946">
            <v>26.948116302490231</v>
          </cell>
          <cell r="D1946">
            <v>171.93675231933591</v>
          </cell>
          <cell r="E1946">
            <v>84.56060791015625</v>
          </cell>
          <cell r="F1946">
            <v>120.6072692871094</v>
          </cell>
        </row>
        <row r="1947">
          <cell r="A1947">
            <v>44978</v>
          </cell>
          <cell r="B1947">
            <v>160.2160949707031</v>
          </cell>
          <cell r="C1947">
            <v>25.435272216796879</v>
          </cell>
          <cell r="D1947">
            <v>171.14109802246091</v>
          </cell>
          <cell r="E1947">
            <v>83.514251708984375</v>
          </cell>
          <cell r="F1947">
            <v>116.81114196777339</v>
          </cell>
        </row>
        <row r="1948">
          <cell r="A1948">
            <v>44979</v>
          </cell>
          <cell r="B1948">
            <v>161.94097900390619</v>
          </cell>
          <cell r="C1948">
            <v>24.859416961669918</v>
          </cell>
          <cell r="D1948">
            <v>170.18632507324219</v>
          </cell>
          <cell r="E1948">
            <v>83.630508422851563</v>
          </cell>
          <cell r="F1948">
            <v>117.04722595214839</v>
          </cell>
        </row>
        <row r="1949">
          <cell r="A1949">
            <v>44980</v>
          </cell>
          <cell r="B1949">
            <v>162.69438171386719</v>
          </cell>
          <cell r="C1949">
            <v>24.996063232421879</v>
          </cell>
          <cell r="D1949">
            <v>171.10133361816409</v>
          </cell>
          <cell r="E1949">
            <v>85.820106506347656</v>
          </cell>
          <cell r="F1949">
            <v>119.1719207763672</v>
          </cell>
        </row>
        <row r="1950">
          <cell r="A1950">
            <v>44981</v>
          </cell>
          <cell r="B1950">
            <v>160.79107666015619</v>
          </cell>
          <cell r="C1950">
            <v>24.53732872009277</v>
          </cell>
          <cell r="D1950">
            <v>169.4603271484375</v>
          </cell>
          <cell r="E1950">
            <v>85.897621154785156</v>
          </cell>
          <cell r="F1950">
            <v>117.41551208496089</v>
          </cell>
        </row>
        <row r="1951">
          <cell r="A1951">
            <v>44984</v>
          </cell>
          <cell r="B1951">
            <v>161.722900390625</v>
          </cell>
          <cell r="C1951">
            <v>24.303081512451168</v>
          </cell>
          <cell r="D1951">
            <v>168.61494445800781</v>
          </cell>
          <cell r="E1951">
            <v>85.21942138671875</v>
          </cell>
          <cell r="F1951">
            <v>116.54673004150391</v>
          </cell>
        </row>
        <row r="1952">
          <cell r="A1952">
            <v>44985</v>
          </cell>
          <cell r="B1952">
            <v>162.1888122558594</v>
          </cell>
          <cell r="C1952">
            <v>24.332365036010739</v>
          </cell>
          <cell r="D1952">
            <v>173.9855041503906</v>
          </cell>
          <cell r="E1952">
            <v>84.676864624023438</v>
          </cell>
          <cell r="F1952">
            <v>116.6506271362305</v>
          </cell>
        </row>
        <row r="1953">
          <cell r="A1953">
            <v>44986</v>
          </cell>
          <cell r="B1953">
            <v>165.8963317871094</v>
          </cell>
          <cell r="C1953">
            <v>24.722774505615231</v>
          </cell>
          <cell r="D1953">
            <v>172.4737854003906</v>
          </cell>
          <cell r="E1953">
            <v>83.649879455566406</v>
          </cell>
          <cell r="F1953">
            <v>117.50567626953119</v>
          </cell>
        </row>
        <row r="1954">
          <cell r="A1954">
            <v>44987</v>
          </cell>
          <cell r="B1954">
            <v>184.96919250488281</v>
          </cell>
          <cell r="C1954">
            <v>25.571920394897461</v>
          </cell>
          <cell r="D1954">
            <v>173.5777587890625</v>
          </cell>
          <cell r="E1954">
            <v>84.260261535644531</v>
          </cell>
          <cell r="F1954">
            <v>117.600700378418</v>
          </cell>
        </row>
        <row r="1955">
          <cell r="A1955">
            <v>44988</v>
          </cell>
          <cell r="B1955">
            <v>184.81056213378909</v>
          </cell>
          <cell r="C1955">
            <v>25.767124176025391</v>
          </cell>
          <cell r="D1955">
            <v>184.2392578125</v>
          </cell>
          <cell r="E1955">
            <v>86.469230651855469</v>
          </cell>
          <cell r="F1955">
            <v>117.4296798706055</v>
          </cell>
        </row>
        <row r="1956">
          <cell r="A1956">
            <v>44991</v>
          </cell>
          <cell r="B1956">
            <v>182.20343017578119</v>
          </cell>
          <cell r="C1956">
            <v>25.366950988769531</v>
          </cell>
          <cell r="D1956">
            <v>183.8911437988281</v>
          </cell>
          <cell r="E1956">
            <v>86.943954467773438</v>
          </cell>
          <cell r="F1956">
            <v>116.2990798950195</v>
          </cell>
        </row>
        <row r="1957">
          <cell r="A1957">
            <v>44992</v>
          </cell>
          <cell r="B1957">
            <v>181.72760009765619</v>
          </cell>
          <cell r="C1957">
            <v>24.9179801940918</v>
          </cell>
          <cell r="D1957">
            <v>183.50328063964841</v>
          </cell>
          <cell r="E1957">
            <v>85.606956481933594</v>
          </cell>
          <cell r="F1957">
            <v>113.23985290527339</v>
          </cell>
        </row>
        <row r="1958">
          <cell r="A1958">
            <v>44993</v>
          </cell>
          <cell r="B1958">
            <v>181.36079406738281</v>
          </cell>
          <cell r="C1958">
            <v>25.35719108581543</v>
          </cell>
          <cell r="D1958">
            <v>183.9607849121094</v>
          </cell>
          <cell r="E1958">
            <v>85.732902526855469</v>
          </cell>
          <cell r="F1958">
            <v>115.1494903564453</v>
          </cell>
        </row>
        <row r="1959">
          <cell r="A1959">
            <v>44994</v>
          </cell>
          <cell r="B1959">
            <v>177.16755676269531</v>
          </cell>
          <cell r="C1959">
            <v>25.806167602539059</v>
          </cell>
          <cell r="D1959">
            <v>180.69866943359381</v>
          </cell>
          <cell r="E1959">
            <v>84.16339111328125</v>
          </cell>
          <cell r="F1959">
            <v>111.36817932128911</v>
          </cell>
        </row>
        <row r="1960">
          <cell r="A1960">
            <v>44995</v>
          </cell>
          <cell r="B1960">
            <v>171.67567443847659</v>
          </cell>
          <cell r="C1960">
            <v>26.567464828491211</v>
          </cell>
          <cell r="D1960">
            <v>178.53056335449219</v>
          </cell>
          <cell r="E1960">
            <v>81.450630187988281</v>
          </cell>
          <cell r="F1960">
            <v>109.4395217895508</v>
          </cell>
        </row>
        <row r="1961">
          <cell r="A1961">
            <v>44998</v>
          </cell>
          <cell r="B1961">
            <v>173.9854431152344</v>
          </cell>
          <cell r="C1961">
            <v>26.303937911987301</v>
          </cell>
          <cell r="D1961">
            <v>179.91297912597659</v>
          </cell>
          <cell r="E1961">
            <v>82.283836364746094</v>
          </cell>
          <cell r="F1961">
            <v>108.7174530029297</v>
          </cell>
        </row>
        <row r="1962">
          <cell r="A1962">
            <v>44999</v>
          </cell>
          <cell r="B1962">
            <v>181.30134582519531</v>
          </cell>
          <cell r="C1962">
            <v>27.338529586791989</v>
          </cell>
          <cell r="D1962">
            <v>192.9613952636719</v>
          </cell>
          <cell r="E1962">
            <v>81.92535400390625</v>
          </cell>
          <cell r="F1962">
            <v>110.7316207885742</v>
          </cell>
        </row>
        <row r="1963">
          <cell r="A1963">
            <v>45000</v>
          </cell>
          <cell r="B1963">
            <v>181.3211669921875</v>
          </cell>
          <cell r="C1963">
            <v>27.728940963745121</v>
          </cell>
          <cell r="D1963">
            <v>196.6710510253906</v>
          </cell>
          <cell r="E1963">
            <v>80.394584655761719</v>
          </cell>
          <cell r="F1963">
            <v>109.7245330810547</v>
          </cell>
        </row>
        <row r="1964">
          <cell r="A1964">
            <v>45001</v>
          </cell>
          <cell r="B1964">
            <v>185.67304992675781</v>
          </cell>
          <cell r="C1964">
            <v>29.456508636474609</v>
          </cell>
          <cell r="D1964">
            <v>203.81184387207031</v>
          </cell>
          <cell r="E1964">
            <v>82.177268981933594</v>
          </cell>
          <cell r="F1964">
            <v>114.4939346313477</v>
          </cell>
        </row>
        <row r="1965">
          <cell r="A1965">
            <v>45002</v>
          </cell>
          <cell r="B1965">
            <v>183.24430847167969</v>
          </cell>
          <cell r="C1965">
            <v>29.095378875732418</v>
          </cell>
          <cell r="D1965">
            <v>194.542724609375</v>
          </cell>
          <cell r="E1965">
            <v>82.603546142578125</v>
          </cell>
          <cell r="F1965">
            <v>114.7029647827148</v>
          </cell>
        </row>
        <row r="1966">
          <cell r="A1966">
            <v>45005</v>
          </cell>
          <cell r="B1966">
            <v>183.64085388183591</v>
          </cell>
          <cell r="C1966">
            <v>28.46096038818359</v>
          </cell>
          <cell r="D1966">
            <v>196.73072814941409</v>
          </cell>
          <cell r="E1966">
            <v>84.250572204589844</v>
          </cell>
          <cell r="F1966">
            <v>115.73854064941411</v>
          </cell>
        </row>
        <row r="1967">
          <cell r="A1967">
            <v>45006</v>
          </cell>
          <cell r="B1967">
            <v>187.04106140136719</v>
          </cell>
          <cell r="C1967">
            <v>27.777740478515621</v>
          </cell>
          <cell r="D1967">
            <v>201.0570068359375</v>
          </cell>
          <cell r="E1967">
            <v>84.851264953613281</v>
          </cell>
          <cell r="F1967">
            <v>117.6197052001953</v>
          </cell>
        </row>
        <row r="1968">
          <cell r="A1968">
            <v>45007</v>
          </cell>
          <cell r="B1968">
            <v>184.88987731933591</v>
          </cell>
          <cell r="C1968">
            <v>27.45565032958984</v>
          </cell>
          <cell r="D1968">
            <v>198.71978759765619</v>
          </cell>
          <cell r="E1968">
            <v>85.161300659179688</v>
          </cell>
          <cell r="F1968">
            <v>115.8810577392578</v>
          </cell>
        </row>
        <row r="1969">
          <cell r="A1969">
            <v>45008</v>
          </cell>
          <cell r="B1969">
            <v>185.81182861328119</v>
          </cell>
          <cell r="C1969">
            <v>28.334075927734379</v>
          </cell>
          <cell r="D1969">
            <v>203.16542053222659</v>
          </cell>
          <cell r="E1969">
            <v>85.045028686523438</v>
          </cell>
          <cell r="F1969">
            <v>117.9522247314453</v>
          </cell>
        </row>
        <row r="1970">
          <cell r="A1970">
            <v>45009</v>
          </cell>
          <cell r="B1970">
            <v>188.4090576171875</v>
          </cell>
          <cell r="C1970">
            <v>28.65616416931152</v>
          </cell>
          <cell r="D1970">
            <v>204.88597106933591</v>
          </cell>
          <cell r="E1970">
            <v>85.267868041992188</v>
          </cell>
          <cell r="F1970">
            <v>118.5317687988281</v>
          </cell>
        </row>
        <row r="1971">
          <cell r="A1971">
            <v>45012</v>
          </cell>
          <cell r="B1971">
            <v>189.5986328125</v>
          </cell>
          <cell r="C1971">
            <v>28.4804801940918</v>
          </cell>
          <cell r="D1971">
            <v>201.7333068847656</v>
          </cell>
          <cell r="E1971">
            <v>87.331504821777344</v>
          </cell>
          <cell r="F1971">
            <v>117.4296798706055</v>
          </cell>
        </row>
        <row r="1972">
          <cell r="A1972">
            <v>45013</v>
          </cell>
          <cell r="B1972">
            <v>190.6296081542969</v>
          </cell>
          <cell r="C1972">
            <v>28.587846755981449</v>
          </cell>
          <cell r="D1972">
            <v>199.5850524902344</v>
          </cell>
          <cell r="E1972">
            <v>87.050537109375</v>
          </cell>
          <cell r="F1972">
            <v>115.2825088500977</v>
          </cell>
        </row>
        <row r="1973">
          <cell r="A1973">
            <v>45014</v>
          </cell>
          <cell r="B1973">
            <v>194.931884765625</v>
          </cell>
          <cell r="C1973">
            <v>30.764385223388668</v>
          </cell>
          <cell r="D1973">
            <v>204.2295837402344</v>
          </cell>
          <cell r="E1973">
            <v>87.796546936035156</v>
          </cell>
          <cell r="F1973">
            <v>118.84527587890619</v>
          </cell>
        </row>
        <row r="1974">
          <cell r="A1974">
            <v>45015</v>
          </cell>
          <cell r="B1974">
            <v>194.8922424316406</v>
          </cell>
          <cell r="C1974">
            <v>31.320718765258789</v>
          </cell>
          <cell r="D1974">
            <v>206.70600891113281</v>
          </cell>
          <cell r="E1974">
            <v>87.689956665039063</v>
          </cell>
          <cell r="F1974">
            <v>121.0399856567383</v>
          </cell>
        </row>
        <row r="1975">
          <cell r="A1975">
            <v>45016</v>
          </cell>
          <cell r="B1975">
            <v>198.04463195800781</v>
          </cell>
          <cell r="C1975">
            <v>31.886810302734379</v>
          </cell>
          <cell r="D1975">
            <v>210.78364562988281</v>
          </cell>
          <cell r="E1975">
            <v>90.024887084960938</v>
          </cell>
          <cell r="F1975">
            <v>121.2109832763672</v>
          </cell>
        </row>
        <row r="1976">
          <cell r="A1976">
            <v>45019</v>
          </cell>
          <cell r="B1976">
            <v>194.78321838378909</v>
          </cell>
          <cell r="C1976">
            <v>32.101539611816413</v>
          </cell>
          <cell r="D1976">
            <v>211.90745544433591</v>
          </cell>
          <cell r="E1976">
            <v>90.993728637695313</v>
          </cell>
          <cell r="F1976">
            <v>118.5127716064453</v>
          </cell>
        </row>
        <row r="1977">
          <cell r="A1977">
            <v>45020</v>
          </cell>
          <cell r="B1977">
            <v>195.48704528808591</v>
          </cell>
          <cell r="C1977">
            <v>32.306503295898438</v>
          </cell>
          <cell r="D1977">
            <v>213.54844665527341</v>
          </cell>
          <cell r="E1977">
            <v>91.071243286132813</v>
          </cell>
          <cell r="F1977">
            <v>116.194580078125</v>
          </cell>
        </row>
        <row r="1978">
          <cell r="A1978">
            <v>45021</v>
          </cell>
          <cell r="B1978">
            <v>193.61346435546881</v>
          </cell>
          <cell r="C1978">
            <v>32.042980194091797</v>
          </cell>
          <cell r="D1978">
            <v>210.32612609863281</v>
          </cell>
          <cell r="E1978">
            <v>91.933494567871094</v>
          </cell>
          <cell r="F1978">
            <v>116.8976364135742</v>
          </cell>
        </row>
        <row r="1979">
          <cell r="A1979">
            <v>45022</v>
          </cell>
          <cell r="B1979">
            <v>190.87742614746091</v>
          </cell>
          <cell r="C1979">
            <v>32.023460388183587</v>
          </cell>
          <cell r="D1979">
            <v>214.92091369628909</v>
          </cell>
          <cell r="E1979">
            <v>92.931411743164063</v>
          </cell>
          <cell r="F1979">
            <v>116.85963439941411</v>
          </cell>
        </row>
        <row r="1980">
          <cell r="A1980">
            <v>45026</v>
          </cell>
          <cell r="B1980">
            <v>189.82664489746091</v>
          </cell>
          <cell r="C1980">
            <v>31.740411758422852</v>
          </cell>
          <cell r="D1980">
            <v>213.57830810546881</v>
          </cell>
          <cell r="E1980">
            <v>91.219100952148438</v>
          </cell>
          <cell r="F1980">
            <v>118.0852355957031</v>
          </cell>
        </row>
        <row r="1981">
          <cell r="A1981">
            <v>45027</v>
          </cell>
          <cell r="B1981">
            <v>187.24922180175781</v>
          </cell>
          <cell r="C1981">
            <v>31.574481964111332</v>
          </cell>
          <cell r="D1981">
            <v>212.68321228027341</v>
          </cell>
          <cell r="E1981">
            <v>91.423416137695313</v>
          </cell>
          <cell r="F1981">
            <v>117.4011688232422</v>
          </cell>
        </row>
        <row r="1982">
          <cell r="A1982">
            <v>45028</v>
          </cell>
          <cell r="B1982">
            <v>188.66680908203119</v>
          </cell>
          <cell r="C1982">
            <v>31.252401351928711</v>
          </cell>
          <cell r="D1982">
            <v>212.8323669433594</v>
          </cell>
          <cell r="E1982">
            <v>91.355308532714844</v>
          </cell>
          <cell r="F1982">
            <v>114.2659149169922</v>
          </cell>
        </row>
        <row r="1983">
          <cell r="A1983">
            <v>45029</v>
          </cell>
          <cell r="B1983">
            <v>192.33465576171881</v>
          </cell>
          <cell r="C1983">
            <v>31.359758377075199</v>
          </cell>
          <cell r="D1983">
            <v>219.14775085449219</v>
          </cell>
          <cell r="E1983">
            <v>92.960586547851563</v>
          </cell>
          <cell r="F1983">
            <v>115.08298492431641</v>
          </cell>
        </row>
        <row r="1984">
          <cell r="A1984">
            <v>45030</v>
          </cell>
          <cell r="B1984">
            <v>192.95916748046881</v>
          </cell>
          <cell r="C1984">
            <v>31.12551307678223</v>
          </cell>
          <cell r="D1984">
            <v>220.28153991699219</v>
          </cell>
          <cell r="E1984">
            <v>93.116256713867188</v>
          </cell>
          <cell r="F1984">
            <v>114.1614074707031</v>
          </cell>
        </row>
        <row r="1985">
          <cell r="A1985">
            <v>45033</v>
          </cell>
          <cell r="B1985">
            <v>195.3680725097656</v>
          </cell>
          <cell r="C1985">
            <v>31.3695182800293</v>
          </cell>
          <cell r="D1985">
            <v>217.6658630371094</v>
          </cell>
          <cell r="E1985">
            <v>92.999496459960938</v>
          </cell>
          <cell r="F1985">
            <v>113.42034912109381</v>
          </cell>
        </row>
        <row r="1986">
          <cell r="A1986">
            <v>45034</v>
          </cell>
          <cell r="B1986">
            <v>196.77574157714841</v>
          </cell>
          <cell r="C1986">
            <v>31.066951751708981</v>
          </cell>
          <cell r="D1986">
            <v>216.701171875</v>
          </cell>
          <cell r="E1986">
            <v>93.855674743652344</v>
          </cell>
          <cell r="F1986">
            <v>112.4512634277344</v>
          </cell>
        </row>
        <row r="1987">
          <cell r="A1987">
            <v>45035</v>
          </cell>
          <cell r="B1987">
            <v>197.19207763671881</v>
          </cell>
          <cell r="C1987">
            <v>30.403255462646481</v>
          </cell>
          <cell r="D1987">
            <v>214.5231018066406</v>
          </cell>
          <cell r="E1987">
            <v>93.213546752929688</v>
          </cell>
          <cell r="F1987">
            <v>112.6222763061523</v>
          </cell>
        </row>
        <row r="1988">
          <cell r="A1988">
            <v>45036</v>
          </cell>
          <cell r="B1988">
            <v>195.7943420410156</v>
          </cell>
          <cell r="C1988">
            <v>30.120208740234379</v>
          </cell>
          <cell r="D1988">
            <v>211.90745544433591</v>
          </cell>
          <cell r="E1988">
            <v>92.260108947753906</v>
          </cell>
          <cell r="F1988">
            <v>112.7172927856445</v>
          </cell>
        </row>
        <row r="1989">
          <cell r="A1989">
            <v>45037</v>
          </cell>
          <cell r="B1989">
            <v>197.3011474609375</v>
          </cell>
          <cell r="C1989">
            <v>29.573629379272461</v>
          </cell>
          <cell r="D1989">
            <v>211.72843933105469</v>
          </cell>
          <cell r="E1989">
            <v>92.571449279785156</v>
          </cell>
          <cell r="F1989">
            <v>111.8812255859375</v>
          </cell>
        </row>
        <row r="1990">
          <cell r="A1990">
            <v>45040</v>
          </cell>
          <cell r="B1990">
            <v>193.2268371582031</v>
          </cell>
          <cell r="C1990">
            <v>28.948972702026371</v>
          </cell>
          <cell r="D1990">
            <v>211.6289978027344</v>
          </cell>
          <cell r="E1990">
            <v>92.85357666015625</v>
          </cell>
          <cell r="F1990">
            <v>111.49167633056641</v>
          </cell>
        </row>
        <row r="1991">
          <cell r="A1991">
            <v>45041</v>
          </cell>
          <cell r="B1991">
            <v>189.01374816894531</v>
          </cell>
          <cell r="C1991">
            <v>28.18767166137695</v>
          </cell>
          <cell r="D1991">
            <v>206.41758728027341</v>
          </cell>
          <cell r="E1991">
            <v>91.510971069335938</v>
          </cell>
          <cell r="F1991">
            <v>108.35643005371089</v>
          </cell>
        </row>
        <row r="1992">
          <cell r="A1992">
            <v>45042</v>
          </cell>
          <cell r="B1992">
            <v>189.85638427734381</v>
          </cell>
          <cell r="C1992">
            <v>28.353595733642582</v>
          </cell>
          <cell r="D1992">
            <v>208.25749206542969</v>
          </cell>
          <cell r="E1992">
            <v>91.170463562011719</v>
          </cell>
          <cell r="F1992">
            <v>108.4609298706055</v>
          </cell>
        </row>
        <row r="1993">
          <cell r="A1993">
            <v>45043</v>
          </cell>
          <cell r="B1993">
            <v>194.23797607421881</v>
          </cell>
          <cell r="C1993">
            <v>29.144180297851559</v>
          </cell>
          <cell r="D1993">
            <v>237.2583923339844</v>
          </cell>
          <cell r="E1993">
            <v>92.46441650390625</v>
          </cell>
          <cell r="F1993">
            <v>108.2329177856445</v>
          </cell>
        </row>
        <row r="1994">
          <cell r="A1994">
            <v>45044</v>
          </cell>
          <cell r="B1994">
            <v>196.64686584472659</v>
          </cell>
          <cell r="C1994">
            <v>30.315410614013668</v>
          </cell>
          <cell r="D1994">
            <v>239.00877380371091</v>
          </cell>
          <cell r="E1994">
            <v>92.153076171875</v>
          </cell>
          <cell r="F1994">
            <v>110.9691467285156</v>
          </cell>
        </row>
        <row r="1995">
          <cell r="A1995">
            <v>45047</v>
          </cell>
          <cell r="B1995">
            <v>196.07191467285159</v>
          </cell>
          <cell r="C1995">
            <v>29.573629379272461</v>
          </cell>
          <cell r="D1995">
            <v>241.85316467285159</v>
          </cell>
          <cell r="E1995">
            <v>92.299026489257813</v>
          </cell>
          <cell r="F1995">
            <v>110.0570602416992</v>
          </cell>
        </row>
        <row r="1996">
          <cell r="A1996">
            <v>45048</v>
          </cell>
          <cell r="B1996">
            <v>192.15620422363281</v>
          </cell>
          <cell r="C1996">
            <v>29.056337356567379</v>
          </cell>
          <cell r="D1996">
            <v>237.93467712402341</v>
          </cell>
          <cell r="E1996">
            <v>92.230926513671875</v>
          </cell>
          <cell r="F1996">
            <v>110.313591003418</v>
          </cell>
        </row>
        <row r="1997">
          <cell r="A1997">
            <v>45049</v>
          </cell>
          <cell r="B1997">
            <v>190.93690490722659</v>
          </cell>
          <cell r="C1997">
            <v>29.915241241455082</v>
          </cell>
          <cell r="D1997">
            <v>235.73674011230469</v>
          </cell>
          <cell r="E1997">
            <v>92.211463928222656</v>
          </cell>
          <cell r="F1997">
            <v>107.1973419189453</v>
          </cell>
        </row>
        <row r="1998">
          <cell r="A1998">
            <v>45050</v>
          </cell>
          <cell r="B1998">
            <v>190.70890808105469</v>
          </cell>
          <cell r="C1998">
            <v>30.615959167480469</v>
          </cell>
          <cell r="D1998">
            <v>232.24589538574219</v>
          </cell>
          <cell r="E1998">
            <v>92.396308898925781</v>
          </cell>
          <cell r="F1998">
            <v>101.2593460083008</v>
          </cell>
        </row>
        <row r="1999">
          <cell r="A1999">
            <v>45051</v>
          </cell>
          <cell r="B1999">
            <v>195.87364196777341</v>
          </cell>
          <cell r="C1999">
            <v>30.370950698852539</v>
          </cell>
          <cell r="D1999">
            <v>231.5099182128906</v>
          </cell>
          <cell r="E1999">
            <v>94.342124938964844</v>
          </cell>
          <cell r="F1999">
            <v>103.3495178222656</v>
          </cell>
        </row>
        <row r="2000">
          <cell r="A2000">
            <v>45054</v>
          </cell>
          <cell r="B2000">
            <v>196.1809387207031</v>
          </cell>
          <cell r="C2000">
            <v>30.155349731445309</v>
          </cell>
          <cell r="D2000">
            <v>231.99725341796881</v>
          </cell>
          <cell r="E2000">
            <v>94.166984558105469</v>
          </cell>
          <cell r="F2000">
            <v>102.9029846191406</v>
          </cell>
        </row>
        <row r="2001">
          <cell r="A2001">
            <v>45055</v>
          </cell>
          <cell r="B2001">
            <v>199.4324645996094</v>
          </cell>
          <cell r="C2001">
            <v>29.49873161315918</v>
          </cell>
          <cell r="D2001">
            <v>232.09669494628909</v>
          </cell>
          <cell r="E2001">
            <v>93.534584045410156</v>
          </cell>
          <cell r="F2001">
            <v>100.4897842407227</v>
          </cell>
        </row>
        <row r="2002">
          <cell r="A2002">
            <v>45056</v>
          </cell>
          <cell r="B2002">
            <v>203.0705871582031</v>
          </cell>
          <cell r="C2002">
            <v>29.371328353881839</v>
          </cell>
          <cell r="D2002">
            <v>231.80828857421881</v>
          </cell>
          <cell r="E2002">
            <v>94.877212524414063</v>
          </cell>
          <cell r="F2002">
            <v>101.1453399658203</v>
          </cell>
        </row>
        <row r="2003">
          <cell r="A2003">
            <v>45057</v>
          </cell>
          <cell r="B2003">
            <v>201.70257568359381</v>
          </cell>
          <cell r="C2003">
            <v>28.283502578735352</v>
          </cell>
          <cell r="D2003">
            <v>234.50349426269531</v>
          </cell>
          <cell r="E2003">
            <v>94.799385070800781</v>
          </cell>
          <cell r="F2003">
            <v>98.865142822265625</v>
          </cell>
        </row>
        <row r="2004">
          <cell r="A2004">
            <v>45058</v>
          </cell>
          <cell r="B2004">
            <v>200.05699157714841</v>
          </cell>
          <cell r="C2004">
            <v>28.3717041015625</v>
          </cell>
          <cell r="D2004">
            <v>232.5343017578125</v>
          </cell>
          <cell r="E2004">
            <v>95.198265075683594</v>
          </cell>
          <cell r="F2004">
            <v>98.447120666503906</v>
          </cell>
        </row>
        <row r="2005">
          <cell r="A2005">
            <v>45061</v>
          </cell>
          <cell r="B2005">
            <v>201.56379699707031</v>
          </cell>
          <cell r="C2005">
            <v>29.2047233581543</v>
          </cell>
          <cell r="D2005">
            <v>237.55674743652341</v>
          </cell>
          <cell r="E2005">
            <v>94.624259948730469</v>
          </cell>
          <cell r="F2005">
            <v>100.9743270874023</v>
          </cell>
        </row>
        <row r="2006">
          <cell r="A2006">
            <v>45062</v>
          </cell>
          <cell r="B2006">
            <v>202.78309631347659</v>
          </cell>
          <cell r="C2006">
            <v>28.636308670043949</v>
          </cell>
          <cell r="D2006">
            <v>237.5169677734375</v>
          </cell>
          <cell r="E2006">
            <v>95.587432861328125</v>
          </cell>
          <cell r="F2006">
            <v>98.608627319335938</v>
          </cell>
        </row>
        <row r="2007">
          <cell r="A2007">
            <v>45063</v>
          </cell>
          <cell r="B2007">
            <v>207.5612487792969</v>
          </cell>
          <cell r="C2007">
            <v>28.293300628662109</v>
          </cell>
          <cell r="D2007">
            <v>241.1669616699219</v>
          </cell>
          <cell r="E2007">
            <v>97.06622314453125</v>
          </cell>
          <cell r="F2007">
            <v>99.577713012695313</v>
          </cell>
        </row>
        <row r="2008">
          <cell r="A2008">
            <v>45064</v>
          </cell>
          <cell r="B2008">
            <v>211.46702575683591</v>
          </cell>
          <cell r="C2008">
            <v>29.08712005615234</v>
          </cell>
          <cell r="D2008">
            <v>245.5031433105469</v>
          </cell>
          <cell r="E2008">
            <v>99.566581726074219</v>
          </cell>
          <cell r="F2008">
            <v>101.62037658691411</v>
          </cell>
        </row>
        <row r="2009">
          <cell r="A2009">
            <v>45065</v>
          </cell>
          <cell r="B2009">
            <v>208.53273010253909</v>
          </cell>
          <cell r="C2009">
            <v>29.332126617431641</v>
          </cell>
          <cell r="D2009">
            <v>244.2997741699219</v>
          </cell>
          <cell r="E2009">
            <v>100.05303955078119</v>
          </cell>
          <cell r="F2009">
            <v>100.5752868652344</v>
          </cell>
        </row>
        <row r="2010">
          <cell r="A2010">
            <v>45068</v>
          </cell>
          <cell r="B2010">
            <v>208.43359375</v>
          </cell>
          <cell r="C2010">
            <v>29.67513465881348</v>
          </cell>
          <cell r="D2010">
            <v>246.96513366699219</v>
          </cell>
          <cell r="E2010">
            <v>99.012031555175781</v>
          </cell>
          <cell r="F2010">
            <v>100.0242462158203</v>
          </cell>
        </row>
        <row r="2011">
          <cell r="A2011">
            <v>45069</v>
          </cell>
          <cell r="B2011">
            <v>204.84504699707031</v>
          </cell>
          <cell r="C2011">
            <v>28.920516967773441</v>
          </cell>
          <cell r="D2011">
            <v>245.3937683105469</v>
          </cell>
          <cell r="E2011">
            <v>95.869575500488281</v>
          </cell>
          <cell r="F2011">
            <v>98.390106201171875</v>
          </cell>
        </row>
        <row r="2012">
          <cell r="A2012">
            <v>45070</v>
          </cell>
          <cell r="B2012">
            <v>207.24400329589841</v>
          </cell>
          <cell r="C2012">
            <v>28.42070388793945</v>
          </cell>
          <cell r="D2012">
            <v>247.85028076171881</v>
          </cell>
          <cell r="E2012">
            <v>95.655532836914063</v>
          </cell>
          <cell r="F2012">
            <v>97.877059936523438</v>
          </cell>
        </row>
        <row r="2013">
          <cell r="A2013">
            <v>45071</v>
          </cell>
          <cell r="B2013">
            <v>208.08662414550781</v>
          </cell>
          <cell r="C2013">
            <v>26.852664947509769</v>
          </cell>
          <cell r="D2013">
            <v>251.3113098144531</v>
          </cell>
          <cell r="E2013">
            <v>101.4637451171875</v>
          </cell>
          <cell r="F2013">
            <v>98.8271484375</v>
          </cell>
        </row>
        <row r="2014">
          <cell r="A2014">
            <v>45072</v>
          </cell>
          <cell r="B2014">
            <v>213.56858825683591</v>
          </cell>
          <cell r="C2014">
            <v>28.42070388793945</v>
          </cell>
          <cell r="D2014">
            <v>260.61026000976563</v>
          </cell>
          <cell r="E2014">
            <v>101.2594375610352</v>
          </cell>
          <cell r="F2014">
            <v>104.8411331176758</v>
          </cell>
        </row>
        <row r="2015">
          <cell r="A2015">
            <v>45076</v>
          </cell>
          <cell r="B2015">
            <v>216.96879577636719</v>
          </cell>
          <cell r="C2015">
            <v>29.390928268432621</v>
          </cell>
          <cell r="D2015">
            <v>261.087646484375</v>
          </cell>
          <cell r="E2015">
            <v>102.300422668457</v>
          </cell>
          <cell r="F2015">
            <v>110.20908355712891</v>
          </cell>
        </row>
        <row r="2016">
          <cell r="A2016">
            <v>45077</v>
          </cell>
          <cell r="B2016">
            <v>221.43963623046881</v>
          </cell>
          <cell r="C2016">
            <v>30.81196212768555</v>
          </cell>
          <cell r="D2016">
            <v>263.27566528320313</v>
          </cell>
          <cell r="E2016">
            <v>103.0690231323242</v>
          </cell>
          <cell r="F2016">
            <v>108.49664306640619</v>
          </cell>
        </row>
        <row r="2017">
          <cell r="A2017">
            <v>45078</v>
          </cell>
          <cell r="B2017">
            <v>211.0506591796875</v>
          </cell>
          <cell r="C2017">
            <v>30.508152008056641</v>
          </cell>
          <cell r="D2017">
            <v>271.12255859375</v>
          </cell>
          <cell r="E2017">
            <v>103.11766052246089</v>
          </cell>
          <cell r="F2017">
            <v>110.81179046630859</v>
          </cell>
        </row>
        <row r="2018">
          <cell r="A2018">
            <v>45079</v>
          </cell>
          <cell r="B2018">
            <v>211.17951965332031</v>
          </cell>
          <cell r="C2018">
            <v>30.684560775756839</v>
          </cell>
          <cell r="D2018">
            <v>271.12255859375</v>
          </cell>
          <cell r="E2018">
            <v>103.020378112793</v>
          </cell>
          <cell r="F2018">
            <v>110.6108932495117</v>
          </cell>
        </row>
        <row r="2019">
          <cell r="A2019">
            <v>45082</v>
          </cell>
          <cell r="B2019">
            <v>208.03706359863281</v>
          </cell>
          <cell r="C2019">
            <v>29.26352691650391</v>
          </cell>
          <cell r="D2019">
            <v>269.90927124023438</v>
          </cell>
          <cell r="E2019">
            <v>104.0321960449219</v>
          </cell>
          <cell r="F2019">
            <v>107.8461074829102</v>
          </cell>
        </row>
        <row r="2020">
          <cell r="A2020">
            <v>45083</v>
          </cell>
          <cell r="B2020">
            <v>211.00111389160159</v>
          </cell>
          <cell r="C2020">
            <v>30.341550827026371</v>
          </cell>
          <cell r="D2020">
            <v>269.6407470703125</v>
          </cell>
          <cell r="E2020">
            <v>104.1976013183594</v>
          </cell>
          <cell r="F2020">
            <v>111.31882476806641</v>
          </cell>
        </row>
        <row r="2021">
          <cell r="A2021">
            <v>45084</v>
          </cell>
          <cell r="B2021">
            <v>203.94293212890619</v>
          </cell>
          <cell r="C2021">
            <v>30.655158996582031</v>
          </cell>
          <cell r="D2021">
            <v>262.16177368164063</v>
          </cell>
          <cell r="E2021">
            <v>102.39772796630859</v>
          </cell>
          <cell r="F2021">
            <v>110.18995666503911</v>
          </cell>
        </row>
        <row r="2022">
          <cell r="A2022">
            <v>45085</v>
          </cell>
          <cell r="B2022">
            <v>207.70991516113281</v>
          </cell>
          <cell r="C2022">
            <v>31.184371948242191</v>
          </cell>
          <cell r="D2022">
            <v>263.13638305664063</v>
          </cell>
          <cell r="E2022">
            <v>104.5672988891602</v>
          </cell>
          <cell r="F2022">
            <v>111.3092498779297</v>
          </cell>
        </row>
        <row r="2023">
          <cell r="A2023">
            <v>45086</v>
          </cell>
          <cell r="B2023">
            <v>213.4397277832031</v>
          </cell>
          <cell r="C2023">
            <v>30.713962554931641</v>
          </cell>
          <cell r="D2023">
            <v>263.50442504882813</v>
          </cell>
          <cell r="E2023">
            <v>106.87306213378911</v>
          </cell>
          <cell r="F2023">
            <v>113.94969177246089</v>
          </cell>
        </row>
        <row r="2024">
          <cell r="A2024">
            <v>45089</v>
          </cell>
          <cell r="B2024">
            <v>211.83380126953119</v>
          </cell>
          <cell r="C2024">
            <v>32.409404754638672</v>
          </cell>
          <cell r="D2024">
            <v>269.57107543945313</v>
          </cell>
          <cell r="E2024">
            <v>113.27475738525391</v>
          </cell>
          <cell r="F2024">
            <v>116.84841156005859</v>
          </cell>
        </row>
        <row r="2025">
          <cell r="A2025">
            <v>45090</v>
          </cell>
          <cell r="B2025">
            <v>207.1647033691406</v>
          </cell>
          <cell r="C2025">
            <v>33.232624053955078</v>
          </cell>
          <cell r="D2025">
            <v>269.83963012695313</v>
          </cell>
          <cell r="E2025">
            <v>113.51796722412109</v>
          </cell>
          <cell r="F2025">
            <v>119.03919982910161</v>
          </cell>
        </row>
        <row r="2026">
          <cell r="A2026">
            <v>45091</v>
          </cell>
          <cell r="B2026">
            <v>207.5810546875</v>
          </cell>
          <cell r="C2026">
            <v>34.8692626953125</v>
          </cell>
          <cell r="D2026">
            <v>271.85855102539063</v>
          </cell>
          <cell r="E2026">
            <v>118.9564743041992</v>
          </cell>
          <cell r="F2026">
            <v>118.0538330078125</v>
          </cell>
        </row>
        <row r="2027">
          <cell r="A2027">
            <v>45092</v>
          </cell>
          <cell r="B2027">
            <v>210.07916259765619</v>
          </cell>
          <cell r="C2027">
            <v>35.104469299316413</v>
          </cell>
          <cell r="D2027">
            <v>280.29226684570313</v>
          </cell>
          <cell r="E2027">
            <v>123.120491027832</v>
          </cell>
          <cell r="F2027">
            <v>118.2547302246094</v>
          </cell>
        </row>
        <row r="2028">
          <cell r="A2028">
            <v>45093</v>
          </cell>
          <cell r="B2028">
            <v>209.9205627441406</v>
          </cell>
          <cell r="C2028">
            <v>35.643478393554688</v>
          </cell>
          <cell r="D2028">
            <v>279.46685791015619</v>
          </cell>
          <cell r="E2028">
            <v>122.0600280761719</v>
          </cell>
          <cell r="F2028">
            <v>117.3650283813477</v>
          </cell>
        </row>
        <row r="2029">
          <cell r="A2029">
            <v>45097</v>
          </cell>
          <cell r="B2029">
            <v>215.0852966308594</v>
          </cell>
          <cell r="C2029">
            <v>34.300853729248047</v>
          </cell>
          <cell r="D2029">
            <v>282.77865600585938</v>
          </cell>
          <cell r="E2029">
            <v>118.7327041625977</v>
          </cell>
          <cell r="F2029">
            <v>114.62892913818359</v>
          </cell>
        </row>
        <row r="2030">
          <cell r="A2030">
            <v>45098</v>
          </cell>
          <cell r="B2030">
            <v>207.7694091796875</v>
          </cell>
          <cell r="C2030">
            <v>32.2427978515625</v>
          </cell>
          <cell r="D2030">
            <v>280.10336303710938</v>
          </cell>
          <cell r="E2030">
            <v>118.7910842895508</v>
          </cell>
          <cell r="F2030">
            <v>110.7448272705078</v>
          </cell>
        </row>
        <row r="2031">
          <cell r="A2031">
            <v>45099</v>
          </cell>
          <cell r="B2031">
            <v>211.43727111816409</v>
          </cell>
          <cell r="C2031">
            <v>32.056591033935547</v>
          </cell>
          <cell r="D2031">
            <v>283.32568359375</v>
          </cell>
          <cell r="E2031">
            <v>117.3122863769531</v>
          </cell>
          <cell r="F2031">
            <v>111.3571014404297</v>
          </cell>
        </row>
        <row r="2032">
          <cell r="A2032">
            <v>45100</v>
          </cell>
          <cell r="B2032">
            <v>208.26507568359381</v>
          </cell>
          <cell r="C2032">
            <v>32.340805053710938</v>
          </cell>
          <cell r="D2032">
            <v>287.1546630859375</v>
          </cell>
          <cell r="E2032">
            <v>115.4248580932617</v>
          </cell>
          <cell r="F2032">
            <v>108.5157775878906</v>
          </cell>
        </row>
        <row r="2033">
          <cell r="A2033">
            <v>45103</v>
          </cell>
          <cell r="B2033">
            <v>205.55879211425781</v>
          </cell>
          <cell r="C2033">
            <v>32.67401123046875</v>
          </cell>
          <cell r="D2033">
            <v>276.95065307617188</v>
          </cell>
          <cell r="E2033">
            <v>113.6152725219727</v>
          </cell>
          <cell r="F2033">
            <v>111.57712554931641</v>
          </cell>
        </row>
        <row r="2034">
          <cell r="A2034">
            <v>45104</v>
          </cell>
          <cell r="B2034">
            <v>207.00611877441409</v>
          </cell>
          <cell r="C2034">
            <v>33.418827056884773</v>
          </cell>
          <cell r="D2034">
            <v>285.48382568359381</v>
          </cell>
          <cell r="E2034">
            <v>114.6465301513672</v>
          </cell>
          <cell r="F2034">
            <v>114.60023498535161</v>
          </cell>
        </row>
        <row r="2035">
          <cell r="A2035">
            <v>45105</v>
          </cell>
          <cell r="B2035">
            <v>210.3269958496094</v>
          </cell>
          <cell r="C2035">
            <v>32.8994140625</v>
          </cell>
          <cell r="D2035">
            <v>283.73345947265619</v>
          </cell>
          <cell r="E2035">
            <v>113.3720321655273</v>
          </cell>
          <cell r="F2035">
            <v>112.4477081298828</v>
          </cell>
        </row>
        <row r="2036">
          <cell r="A2036">
            <v>45106</v>
          </cell>
          <cell r="B2036">
            <v>208.60209655761719</v>
          </cell>
          <cell r="C2036">
            <v>32.252601623535163</v>
          </cell>
          <cell r="D2036">
            <v>279.99392700195313</v>
          </cell>
          <cell r="E2036">
            <v>114.5881652832031</v>
          </cell>
          <cell r="F2036">
            <v>112.945182800293</v>
          </cell>
        </row>
        <row r="2037">
          <cell r="A2037">
            <v>45107</v>
          </cell>
          <cell r="B2037">
            <v>209.4248962402344</v>
          </cell>
          <cell r="C2037">
            <v>32.772010803222663</v>
          </cell>
          <cell r="D2037">
            <v>285.41421508789063</v>
          </cell>
          <cell r="E2037">
            <v>115.862663269043</v>
          </cell>
          <cell r="F2037">
            <v>113.8827285766602</v>
          </cell>
        </row>
        <row r="2038">
          <cell r="A2038">
            <v>45110</v>
          </cell>
          <cell r="B2038">
            <v>209.8115234375</v>
          </cell>
          <cell r="C2038">
            <v>32.948417663574219</v>
          </cell>
          <cell r="D2038">
            <v>284.45941162109381</v>
          </cell>
          <cell r="E2038">
            <v>113.97524261474609</v>
          </cell>
          <cell r="F2038">
            <v>114.88722229003911</v>
          </cell>
        </row>
        <row r="2039">
          <cell r="A2039">
            <v>45112</v>
          </cell>
          <cell r="B2039">
            <v>211.9626770019531</v>
          </cell>
          <cell r="C2039">
            <v>31.860589981079102</v>
          </cell>
          <cell r="D2039">
            <v>292.76385498046881</v>
          </cell>
          <cell r="E2039">
            <v>112.81748962402339</v>
          </cell>
          <cell r="F2039">
            <v>112.0554656982422</v>
          </cell>
        </row>
        <row r="2040">
          <cell r="A2040">
            <v>45113</v>
          </cell>
          <cell r="B2040">
            <v>208.31463623046881</v>
          </cell>
          <cell r="C2040">
            <v>31.331375122070309</v>
          </cell>
          <cell r="D2040">
            <v>290.3968505859375</v>
          </cell>
          <cell r="E2040">
            <v>112.3212966918945</v>
          </cell>
          <cell r="F2040">
            <v>110.2282180786133</v>
          </cell>
        </row>
        <row r="2041">
          <cell r="A2041">
            <v>45114</v>
          </cell>
          <cell r="B2041">
            <v>207.7694091796875</v>
          </cell>
          <cell r="C2041">
            <v>31.213775634765621</v>
          </cell>
          <cell r="D2041">
            <v>288.94482421875</v>
          </cell>
          <cell r="E2041">
            <v>111.5040588378906</v>
          </cell>
          <cell r="F2041">
            <v>110.9170303344727</v>
          </cell>
        </row>
        <row r="2042">
          <cell r="A2042">
            <v>45117</v>
          </cell>
          <cell r="B2042">
            <v>210.9614562988281</v>
          </cell>
          <cell r="C2042">
            <v>32.085994720458977</v>
          </cell>
          <cell r="D2042">
            <v>292.49539184570313</v>
          </cell>
          <cell r="E2042">
            <v>111.28028869628911</v>
          </cell>
          <cell r="F2042">
            <v>112.0459060668945</v>
          </cell>
        </row>
        <row r="2043">
          <cell r="A2043">
            <v>45118</v>
          </cell>
          <cell r="B2043">
            <v>219.24882507324219</v>
          </cell>
          <cell r="C2043">
            <v>32.634811401367188</v>
          </cell>
          <cell r="D2043">
            <v>296.6624755859375</v>
          </cell>
          <cell r="E2043">
            <v>112.1589813232422</v>
          </cell>
          <cell r="F2043">
            <v>111.8067321777344</v>
          </cell>
        </row>
        <row r="2044">
          <cell r="A2044">
            <v>45119</v>
          </cell>
          <cell r="B2044">
            <v>225.30574035644531</v>
          </cell>
          <cell r="C2044">
            <v>33.301227569580078</v>
          </cell>
          <cell r="D2044">
            <v>307.6522216796875</v>
          </cell>
          <cell r="E2044">
            <v>113.2719802856445</v>
          </cell>
          <cell r="F2044">
            <v>113.5383224487305</v>
          </cell>
        </row>
        <row r="2045">
          <cell r="A2045">
            <v>45120</v>
          </cell>
          <cell r="B2045">
            <v>228.36891174316409</v>
          </cell>
          <cell r="C2045">
            <v>33.19342041015625</v>
          </cell>
          <cell r="D2045">
            <v>311.69998168945313</v>
          </cell>
          <cell r="E2045">
            <v>114.6681213378906</v>
          </cell>
          <cell r="F2045">
            <v>117.7859573364258</v>
          </cell>
        </row>
        <row r="2046">
          <cell r="A2046">
            <v>45121</v>
          </cell>
          <cell r="B2046">
            <v>227.33793640136719</v>
          </cell>
          <cell r="C2046">
            <v>32.487804412841797</v>
          </cell>
          <cell r="D2046">
            <v>307.18475341796881</v>
          </cell>
          <cell r="E2046">
            <v>116.4450149536133</v>
          </cell>
          <cell r="F2046">
            <v>117.2502136230469</v>
          </cell>
        </row>
        <row r="2047">
          <cell r="A2047">
            <v>45124</v>
          </cell>
          <cell r="B2047">
            <v>226.0195007324219</v>
          </cell>
          <cell r="C2047">
            <v>33.683433532714837</v>
          </cell>
          <cell r="D2047">
            <v>308.92520141601563</v>
          </cell>
          <cell r="E2047">
            <v>116.0740127563477</v>
          </cell>
          <cell r="F2047">
            <v>118.0538330078125</v>
          </cell>
        </row>
        <row r="2048">
          <cell r="A2048">
            <v>45125</v>
          </cell>
          <cell r="B2048">
            <v>225.65272521972659</v>
          </cell>
          <cell r="C2048">
            <v>33.810840606689453</v>
          </cell>
          <cell r="D2048">
            <v>310.34738159179688</v>
          </cell>
          <cell r="E2048">
            <v>117.9094772338867</v>
          </cell>
          <cell r="F2048">
            <v>117.537223815918</v>
          </cell>
        </row>
        <row r="2049">
          <cell r="A2049">
            <v>45126</v>
          </cell>
          <cell r="B2049">
            <v>232.33415222167969</v>
          </cell>
          <cell r="C2049">
            <v>33.771633148193359</v>
          </cell>
          <cell r="D2049">
            <v>314.28582763671881</v>
          </cell>
          <cell r="E2049">
            <v>115.8787460327148</v>
          </cell>
          <cell r="F2049">
            <v>119.0296325683594</v>
          </cell>
        </row>
        <row r="2050">
          <cell r="A2050">
            <v>45127</v>
          </cell>
          <cell r="B2050">
            <v>226.17811584472659</v>
          </cell>
          <cell r="C2050">
            <v>32.703407287597663</v>
          </cell>
          <cell r="D2050">
            <v>300.869384765625</v>
          </cell>
          <cell r="E2050">
            <v>113.1352996826172</v>
          </cell>
          <cell r="F2050">
            <v>115.4899368286133</v>
          </cell>
        </row>
        <row r="2051">
          <cell r="A2051">
            <v>45128</v>
          </cell>
          <cell r="B2051">
            <v>226.07896423339841</v>
          </cell>
          <cell r="C2051">
            <v>33.340427398681641</v>
          </cell>
          <cell r="D2051">
            <v>292.65451049804688</v>
          </cell>
          <cell r="E2051">
            <v>114.8633651733398</v>
          </cell>
          <cell r="F2051">
            <v>119.31663513183589</v>
          </cell>
        </row>
        <row r="2052">
          <cell r="A2052">
            <v>45131</v>
          </cell>
          <cell r="B2052">
            <v>223.69981384277341</v>
          </cell>
          <cell r="C2052">
            <v>32.958213806152337</v>
          </cell>
          <cell r="D2052">
            <v>290.01889038085938</v>
          </cell>
          <cell r="E2052">
            <v>115.27342224121089</v>
          </cell>
          <cell r="F2052">
            <v>118.72349548339839</v>
          </cell>
        </row>
        <row r="2053">
          <cell r="A2053">
            <v>45132</v>
          </cell>
          <cell r="B2053">
            <v>224.06660461425781</v>
          </cell>
          <cell r="C2053">
            <v>33.418827056884773</v>
          </cell>
          <cell r="D2053">
            <v>292.86334228515619</v>
          </cell>
          <cell r="E2053">
            <v>115.1562805175781</v>
          </cell>
          <cell r="F2053">
            <v>119.65146636962891</v>
          </cell>
        </row>
        <row r="2054">
          <cell r="A2054">
            <v>45133</v>
          </cell>
          <cell r="B2054">
            <v>223.6205139160156</v>
          </cell>
          <cell r="C2054">
            <v>33.673637390136719</v>
          </cell>
          <cell r="D2054">
            <v>296.94094848632813</v>
          </cell>
          <cell r="E2054">
            <v>112.764289855957</v>
          </cell>
          <cell r="F2054">
            <v>118.64697265625</v>
          </cell>
        </row>
        <row r="2055">
          <cell r="A2055">
            <v>45134</v>
          </cell>
          <cell r="B2055">
            <v>223.1942443847656</v>
          </cell>
          <cell r="C2055">
            <v>33.859836578369141</v>
          </cell>
          <cell r="D2055">
            <v>310.00924682617188</v>
          </cell>
          <cell r="E2055">
            <v>113.6429748535156</v>
          </cell>
          <cell r="F2055">
            <v>120.39768218994141</v>
          </cell>
        </row>
        <row r="2056">
          <cell r="A2056">
            <v>45135</v>
          </cell>
          <cell r="B2056">
            <v>223.64033508300781</v>
          </cell>
          <cell r="C2056">
            <v>36.094295501708977</v>
          </cell>
          <cell r="D2056">
            <v>323.70416259765619</v>
          </cell>
          <cell r="E2056">
            <v>113.2427062988281</v>
          </cell>
          <cell r="F2056">
            <v>123.8704071044922</v>
          </cell>
        </row>
        <row r="2057">
          <cell r="A2057">
            <v>45138</v>
          </cell>
          <cell r="B2057">
            <v>223.05546569824219</v>
          </cell>
          <cell r="C2057">
            <v>35.055465698242188</v>
          </cell>
          <cell r="D2057">
            <v>316.86166381835938</v>
          </cell>
          <cell r="E2057">
            <v>114.4533157348633</v>
          </cell>
          <cell r="F2057">
            <v>126.44386291503911</v>
          </cell>
        </row>
        <row r="2058">
          <cell r="A2058">
            <v>45139</v>
          </cell>
          <cell r="B2058">
            <v>222.32191467285159</v>
          </cell>
          <cell r="C2058">
            <v>35.084869384765618</v>
          </cell>
          <cell r="D2058">
            <v>320.94921875</v>
          </cell>
          <cell r="E2058">
            <v>115.1172180175781</v>
          </cell>
          <cell r="F2058">
            <v>126.35776519775391</v>
          </cell>
        </row>
        <row r="2059">
          <cell r="A2059">
            <v>45140</v>
          </cell>
          <cell r="B2059">
            <v>218.58464050292969</v>
          </cell>
          <cell r="C2059">
            <v>33.703033447265618</v>
          </cell>
          <cell r="D2059">
            <v>312.59506225585938</v>
          </cell>
          <cell r="E2059">
            <v>112.9693298339844</v>
          </cell>
          <cell r="F2059">
            <v>123.6695175170898</v>
          </cell>
        </row>
        <row r="2060">
          <cell r="A2060">
            <v>45141</v>
          </cell>
          <cell r="B2060">
            <v>213.68754577636719</v>
          </cell>
          <cell r="C2060">
            <v>34.173442840576172</v>
          </cell>
          <cell r="D2060">
            <v>311.481201171875</v>
          </cell>
          <cell r="E2060">
            <v>111.836799621582</v>
          </cell>
          <cell r="F2060">
            <v>113.5574417114258</v>
          </cell>
        </row>
        <row r="2061">
          <cell r="A2061">
            <v>45142</v>
          </cell>
          <cell r="B2061">
            <v>212.7259521484375</v>
          </cell>
          <cell r="C2061">
            <v>34.561946868896477</v>
          </cell>
          <cell r="D2061">
            <v>309.03463745117188</v>
          </cell>
          <cell r="E2061">
            <v>111.7294082641602</v>
          </cell>
          <cell r="F2061">
            <v>116.2361373901367</v>
          </cell>
        </row>
        <row r="2062">
          <cell r="A2062">
            <v>45145</v>
          </cell>
          <cell r="B2062">
            <v>214.18321228027341</v>
          </cell>
          <cell r="C2062">
            <v>34.650470733642578</v>
          </cell>
          <cell r="D2062">
            <v>314.83279418945313</v>
          </cell>
          <cell r="E2062">
            <v>113.35008239746089</v>
          </cell>
          <cell r="F2062">
            <v>114.1697158813477</v>
          </cell>
        </row>
        <row r="2063">
          <cell r="A2063">
            <v>45146</v>
          </cell>
          <cell r="B2063">
            <v>209.74212646484381</v>
          </cell>
          <cell r="C2063">
            <v>34.443920135498047</v>
          </cell>
          <cell r="D2063">
            <v>310.93423461914063</v>
          </cell>
          <cell r="E2063">
            <v>112.5007019042969</v>
          </cell>
          <cell r="F2063">
            <v>112.5625076293945</v>
          </cell>
        </row>
        <row r="2064">
          <cell r="A2064">
            <v>45147</v>
          </cell>
          <cell r="B2064">
            <v>204.0718078613281</v>
          </cell>
          <cell r="C2064">
            <v>33.716094970703118</v>
          </cell>
          <cell r="D2064">
            <v>303.54473876953119</v>
          </cell>
          <cell r="E2064">
            <v>110.421142578125</v>
          </cell>
          <cell r="F2064">
            <v>111.5197296142578</v>
          </cell>
        </row>
        <row r="2065">
          <cell r="A2065">
            <v>45148</v>
          </cell>
          <cell r="B2065">
            <v>206.44105529785159</v>
          </cell>
          <cell r="C2065">
            <v>34.109516143798828</v>
          </cell>
          <cell r="D2065">
            <v>304.07183837890619</v>
          </cell>
          <cell r="E2065">
            <v>110.31373596191411</v>
          </cell>
          <cell r="F2065">
            <v>110.6013259887695</v>
          </cell>
        </row>
        <row r="2066">
          <cell r="A2066">
            <v>45149</v>
          </cell>
          <cell r="B2066">
            <v>206.88713073730469</v>
          </cell>
          <cell r="C2066">
            <v>34.316062927246087</v>
          </cell>
          <cell r="D2066">
            <v>299.9942626953125</v>
          </cell>
          <cell r="E2066">
            <v>110.382080078125</v>
          </cell>
          <cell r="F2066">
            <v>109.6446533203125</v>
          </cell>
        </row>
        <row r="2067">
          <cell r="A2067">
            <v>45152</v>
          </cell>
          <cell r="B2067">
            <v>210.21795654296881</v>
          </cell>
          <cell r="C2067">
            <v>35.093063354492188</v>
          </cell>
          <cell r="D2067">
            <v>304.51937866210938</v>
          </cell>
          <cell r="E2067">
            <v>112.8326416015625</v>
          </cell>
          <cell r="F2067">
            <v>109.0802001953125</v>
          </cell>
        </row>
        <row r="2068">
          <cell r="A2068">
            <v>45153</v>
          </cell>
          <cell r="B2068">
            <v>206.96644592285159</v>
          </cell>
          <cell r="C2068">
            <v>34.198036193847663</v>
          </cell>
          <cell r="D2068">
            <v>300.30255126953119</v>
          </cell>
          <cell r="E2068">
            <v>114.51190185546881</v>
          </cell>
          <cell r="F2068">
            <v>106.84156799316411</v>
          </cell>
        </row>
        <row r="2069">
          <cell r="A2069">
            <v>45154</v>
          </cell>
          <cell r="B2069">
            <v>205.1919860839844</v>
          </cell>
          <cell r="C2069">
            <v>32.978431701660163</v>
          </cell>
          <cell r="D2069">
            <v>292.68435668945313</v>
          </cell>
          <cell r="E2069">
            <v>112.6080856323242</v>
          </cell>
          <cell r="F2069">
            <v>105.37786865234381</v>
          </cell>
        </row>
        <row r="2070">
          <cell r="A2070">
            <v>45155</v>
          </cell>
          <cell r="B2070">
            <v>202.0693664550781</v>
          </cell>
          <cell r="C2070">
            <v>32.0440673828125</v>
          </cell>
          <cell r="D2070">
            <v>283.53448486328119</v>
          </cell>
          <cell r="E2070">
            <v>112.1589813232422</v>
          </cell>
          <cell r="F2070">
            <v>105.310905456543</v>
          </cell>
        </row>
        <row r="2071">
          <cell r="A2071">
            <v>45156</v>
          </cell>
          <cell r="B2071">
            <v>203.05076599121091</v>
          </cell>
          <cell r="C2071">
            <v>32.211269378662109</v>
          </cell>
          <cell r="D2071">
            <v>281.70455932617188</v>
          </cell>
          <cell r="E2071">
            <v>113.7015686035156</v>
          </cell>
          <cell r="F2071">
            <v>105.3300399780273</v>
          </cell>
        </row>
        <row r="2072">
          <cell r="A2072">
            <v>45159</v>
          </cell>
          <cell r="B2072">
            <v>207.21427917480469</v>
          </cell>
          <cell r="C2072">
            <v>32.5948486328125</v>
          </cell>
          <cell r="D2072">
            <v>288.31826782226563</v>
          </cell>
          <cell r="E2072">
            <v>113.8284912109375</v>
          </cell>
          <cell r="F2072">
            <v>105.88491058349609</v>
          </cell>
        </row>
        <row r="2073">
          <cell r="A2073">
            <v>45160</v>
          </cell>
          <cell r="B2073">
            <v>204.9639892578125</v>
          </cell>
          <cell r="C2073">
            <v>32.348960876464837</v>
          </cell>
          <cell r="D2073">
            <v>286.03082275390619</v>
          </cell>
          <cell r="E2073">
            <v>113.7796630859375</v>
          </cell>
          <cell r="F2073">
            <v>104.7273254394531</v>
          </cell>
        </row>
        <row r="2074">
          <cell r="A2074">
            <v>45161</v>
          </cell>
          <cell r="B2074">
            <v>207.31340026855469</v>
          </cell>
          <cell r="C2074">
            <v>33.421031951904297</v>
          </cell>
          <cell r="D2074">
            <v>292.63455200195313</v>
          </cell>
          <cell r="E2074">
            <v>115.0488739013672</v>
          </cell>
          <cell r="F2074">
            <v>106.3536834716797</v>
          </cell>
        </row>
        <row r="2075">
          <cell r="A2075">
            <v>45162</v>
          </cell>
          <cell r="B2075">
            <v>203.724853515625</v>
          </cell>
          <cell r="C2075">
            <v>32.05389404296875</v>
          </cell>
          <cell r="D2075">
            <v>285.18545532226563</v>
          </cell>
          <cell r="E2075">
            <v>110.2356491088867</v>
          </cell>
          <cell r="F2075">
            <v>103.8089141845703</v>
          </cell>
        </row>
        <row r="2076">
          <cell r="A2076">
            <v>45163</v>
          </cell>
          <cell r="B2076">
            <v>207.65045166015619</v>
          </cell>
          <cell r="C2076">
            <v>32.703037261962891</v>
          </cell>
          <cell r="D2076">
            <v>283.9422607421875</v>
          </cell>
          <cell r="E2076">
            <v>113.3110275268555</v>
          </cell>
          <cell r="F2076">
            <v>105.54051208496089</v>
          </cell>
        </row>
        <row r="2077">
          <cell r="A2077">
            <v>45166</v>
          </cell>
          <cell r="B2077">
            <v>209.88092041015619</v>
          </cell>
          <cell r="C2077">
            <v>33.06695556640625</v>
          </cell>
          <cell r="D2077">
            <v>288.67630004882813</v>
          </cell>
          <cell r="E2077">
            <v>114.0725479125977</v>
          </cell>
          <cell r="F2077">
            <v>106.84156799316411</v>
          </cell>
        </row>
        <row r="2078">
          <cell r="A2078">
            <v>45167</v>
          </cell>
          <cell r="B2078">
            <v>210.11882019042969</v>
          </cell>
          <cell r="C2078">
            <v>33.745601654052727</v>
          </cell>
          <cell r="D2078">
            <v>296.3641357421875</v>
          </cell>
          <cell r="E2078">
            <v>117.7923126220703</v>
          </cell>
          <cell r="F2078">
            <v>108.85060882568359</v>
          </cell>
        </row>
        <row r="2079">
          <cell r="A2079">
            <v>45168</v>
          </cell>
          <cell r="B2079">
            <v>213.17205810546881</v>
          </cell>
          <cell r="C2079">
            <v>33.961982727050781</v>
          </cell>
          <cell r="D2079">
            <v>293.48989868164063</v>
          </cell>
          <cell r="E2079">
            <v>118.2511901855469</v>
          </cell>
          <cell r="F2079">
            <v>109.12998962402339</v>
          </cell>
        </row>
        <row r="2080">
          <cell r="A2080">
            <v>45169</v>
          </cell>
          <cell r="B2080">
            <v>219.5362854003906</v>
          </cell>
          <cell r="C2080">
            <v>34.561946868896477</v>
          </cell>
          <cell r="D2080">
            <v>294.27560424804688</v>
          </cell>
          <cell r="E2080">
            <v>117.53847503662109</v>
          </cell>
          <cell r="F2080">
            <v>110.3439483642578</v>
          </cell>
        </row>
        <row r="2081">
          <cell r="A2081">
            <v>45170</v>
          </cell>
          <cell r="B2081">
            <v>219.6056823730469</v>
          </cell>
          <cell r="C2081">
            <v>36.007766723632813</v>
          </cell>
          <cell r="D2081">
            <v>294.762939453125</v>
          </cell>
          <cell r="E2081">
            <v>118.06568908691411</v>
          </cell>
          <cell r="F2081">
            <v>111.1725158691406</v>
          </cell>
        </row>
        <row r="2082">
          <cell r="A2082">
            <v>45174</v>
          </cell>
          <cell r="B2082">
            <v>216.79035949707031</v>
          </cell>
          <cell r="C2082">
            <v>36.106121063232422</v>
          </cell>
          <cell r="D2082">
            <v>298.51229858398438</v>
          </cell>
          <cell r="E2082">
            <v>121.04345703125</v>
          </cell>
          <cell r="F2082">
            <v>112.2901229858398</v>
          </cell>
        </row>
        <row r="2083">
          <cell r="A2083">
            <v>45175</v>
          </cell>
          <cell r="B2083">
            <v>219.69488525390619</v>
          </cell>
          <cell r="C2083">
            <v>36.371681213378913</v>
          </cell>
          <cell r="D2083">
            <v>297.5377197265625</v>
          </cell>
          <cell r="E2083">
            <v>121.3851699829102</v>
          </cell>
          <cell r="F2083">
            <v>110.48846435546881</v>
          </cell>
        </row>
        <row r="2084">
          <cell r="A2084">
            <v>45176</v>
          </cell>
          <cell r="B2084">
            <v>220.5970153808594</v>
          </cell>
          <cell r="C2084">
            <v>37.551937103271477</v>
          </cell>
          <cell r="D2084">
            <v>297.04037475585938</v>
          </cell>
          <cell r="E2084">
            <v>122.1271514892578</v>
          </cell>
          <cell r="F2084">
            <v>102.5111083984375</v>
          </cell>
        </row>
        <row r="2085">
          <cell r="A2085">
            <v>45177</v>
          </cell>
          <cell r="B2085">
            <v>222.80763244628909</v>
          </cell>
          <cell r="C2085">
            <v>37.384731292724609</v>
          </cell>
          <cell r="D2085">
            <v>296.26467895507813</v>
          </cell>
          <cell r="E2085">
            <v>123.3280334472656</v>
          </cell>
          <cell r="F2085">
            <v>102.26059722900391</v>
          </cell>
        </row>
        <row r="2086">
          <cell r="A2086">
            <v>45180</v>
          </cell>
          <cell r="B2086">
            <v>223.35285949707031</v>
          </cell>
          <cell r="C2086">
            <v>37.955196380615227</v>
          </cell>
          <cell r="D2086">
            <v>305.88192749023438</v>
          </cell>
          <cell r="E2086">
            <v>123.7087936401367</v>
          </cell>
          <cell r="F2086">
            <v>106.24928283691411</v>
          </cell>
        </row>
        <row r="2087">
          <cell r="A2087">
            <v>45181</v>
          </cell>
          <cell r="B2087">
            <v>219.73457336425781</v>
          </cell>
          <cell r="C2087">
            <v>38.220752716064453</v>
          </cell>
          <cell r="D2087">
            <v>300.01406860351563</v>
          </cell>
          <cell r="E2087">
            <v>107.01380920410161</v>
          </cell>
          <cell r="F2087">
            <v>107.16456604003911</v>
          </cell>
        </row>
        <row r="2088">
          <cell r="A2088">
            <v>45182</v>
          </cell>
          <cell r="B2088">
            <v>216.8994140625</v>
          </cell>
          <cell r="C2088">
            <v>38.073219299316413</v>
          </cell>
          <cell r="D2088">
            <v>303.39553833007813</v>
          </cell>
          <cell r="E2088">
            <v>109.1909942626953</v>
          </cell>
          <cell r="F2088">
            <v>108.5230331420898</v>
          </cell>
        </row>
        <row r="2089">
          <cell r="A2089">
            <v>45183</v>
          </cell>
          <cell r="B2089">
            <v>216.87957763671881</v>
          </cell>
          <cell r="C2089">
            <v>38.033878326416023</v>
          </cell>
          <cell r="D2089">
            <v>310.01925659179688</v>
          </cell>
          <cell r="E2089">
            <v>110.96788024902339</v>
          </cell>
          <cell r="F2089">
            <v>109.8718566894531</v>
          </cell>
        </row>
        <row r="2090">
          <cell r="A2090">
            <v>45184</v>
          </cell>
          <cell r="B2090">
            <v>212.74578857421881</v>
          </cell>
          <cell r="C2090">
            <v>37.256874084472663</v>
          </cell>
          <cell r="D2090">
            <v>298.67147827148438</v>
          </cell>
          <cell r="E2090">
            <v>111.21197509765619</v>
          </cell>
          <cell r="F2090">
            <v>109.00474548339839</v>
          </cell>
        </row>
        <row r="2091">
          <cell r="A2091">
            <v>45187</v>
          </cell>
          <cell r="B2091">
            <v>213.13240051269531</v>
          </cell>
          <cell r="C2091">
            <v>37.365070343017578</v>
          </cell>
          <cell r="D2091">
            <v>300.89920043945313</v>
          </cell>
          <cell r="E2091">
            <v>109.55222320556641</v>
          </cell>
          <cell r="F2091">
            <v>108.62900543212891</v>
          </cell>
        </row>
        <row r="2092">
          <cell r="A2092">
            <v>45188</v>
          </cell>
          <cell r="B2092">
            <v>213.82633972167969</v>
          </cell>
          <cell r="C2092">
            <v>35.742210388183587</v>
          </cell>
          <cell r="D2092">
            <v>303.40548706054688</v>
          </cell>
          <cell r="E2092">
            <v>110.0989532470703</v>
          </cell>
          <cell r="F2092">
            <v>106.673210144043</v>
          </cell>
        </row>
        <row r="2093">
          <cell r="A2093">
            <v>45189</v>
          </cell>
          <cell r="B2093">
            <v>211.17951965332031</v>
          </cell>
          <cell r="C2093">
            <v>34.119350433349609</v>
          </cell>
          <cell r="D2093">
            <v>298.03497314453119</v>
          </cell>
          <cell r="E2093">
            <v>110.19659423828119</v>
          </cell>
          <cell r="F2093">
            <v>105.22802734375</v>
          </cell>
        </row>
        <row r="2094">
          <cell r="A2094">
            <v>45190</v>
          </cell>
          <cell r="B2094">
            <v>206.79792785644531</v>
          </cell>
          <cell r="C2094">
            <v>34.080009460449219</v>
          </cell>
          <cell r="D2094">
            <v>294.11648559570313</v>
          </cell>
          <cell r="E2094">
            <v>106.8380661010742</v>
          </cell>
          <cell r="F2094">
            <v>104.0140838623047</v>
          </cell>
        </row>
        <row r="2095">
          <cell r="A2095">
            <v>45191</v>
          </cell>
          <cell r="B2095">
            <v>204.6368408203125</v>
          </cell>
          <cell r="C2095">
            <v>33.617740631103523</v>
          </cell>
          <cell r="D2095">
            <v>297.44815063476563</v>
          </cell>
          <cell r="E2095">
            <v>106.4475479125977</v>
          </cell>
          <cell r="F2095">
            <v>103.7443084716797</v>
          </cell>
        </row>
        <row r="2096">
          <cell r="A2096">
            <v>45194</v>
          </cell>
          <cell r="B2096">
            <v>204.5476379394531</v>
          </cell>
          <cell r="C2096">
            <v>33.725933074951172</v>
          </cell>
          <cell r="D2096">
            <v>299.1885986328125</v>
          </cell>
          <cell r="E2096">
            <v>105.7348556518555</v>
          </cell>
          <cell r="F2096">
            <v>106.3938064575195</v>
          </cell>
        </row>
        <row r="2097">
          <cell r="A2097">
            <v>45195</v>
          </cell>
          <cell r="B2097">
            <v>200.7310791015625</v>
          </cell>
          <cell r="C2097">
            <v>33.273502349853523</v>
          </cell>
          <cell r="D2097">
            <v>297.32882690429688</v>
          </cell>
          <cell r="E2097">
            <v>102.3958435058594</v>
          </cell>
          <cell r="F2097">
            <v>105.7097625732422</v>
          </cell>
        </row>
        <row r="2098">
          <cell r="A2098">
            <v>45196</v>
          </cell>
          <cell r="B2098">
            <v>200.96900939941409</v>
          </cell>
          <cell r="C2098">
            <v>34.040668487548828</v>
          </cell>
          <cell r="D2098">
            <v>296.115478515625</v>
          </cell>
          <cell r="E2098">
            <v>102.1420135498047</v>
          </cell>
          <cell r="F2098">
            <v>105.1991348266602</v>
          </cell>
        </row>
        <row r="2099">
          <cell r="A2099">
            <v>45197</v>
          </cell>
          <cell r="B2099">
            <v>201.4349365234375</v>
          </cell>
          <cell r="C2099">
            <v>34.601291656494141</v>
          </cell>
          <cell r="D2099">
            <v>302.30154418945313</v>
          </cell>
          <cell r="E2099">
            <v>103.63576507568359</v>
          </cell>
          <cell r="F2099">
            <v>107.03932189941411</v>
          </cell>
        </row>
        <row r="2100">
          <cell r="A2100">
            <v>45198</v>
          </cell>
          <cell r="B2100">
            <v>201.0185852050781</v>
          </cell>
          <cell r="C2100">
            <v>34.965202331542969</v>
          </cell>
          <cell r="D2100">
            <v>298.572021484375</v>
          </cell>
          <cell r="E2100">
            <v>103.4112167358398</v>
          </cell>
          <cell r="F2100">
            <v>107.0007705688477</v>
          </cell>
        </row>
        <row r="2101">
          <cell r="A2101">
            <v>45201</v>
          </cell>
          <cell r="B2101">
            <v>201.94049072265619</v>
          </cell>
          <cell r="C2101">
            <v>34.876682281494141</v>
          </cell>
          <cell r="D2101">
            <v>305.14590454101563</v>
          </cell>
          <cell r="E2101">
            <v>104.182502746582</v>
          </cell>
          <cell r="F2101">
            <v>107.03932189941411</v>
          </cell>
        </row>
        <row r="2102">
          <cell r="A2102">
            <v>45202</v>
          </cell>
          <cell r="B2102">
            <v>198.09419250488281</v>
          </cell>
          <cell r="C2102">
            <v>35.102901458740227</v>
          </cell>
          <cell r="D2102">
            <v>299.29803466796881</v>
          </cell>
          <cell r="E2102">
            <v>102.0443649291992</v>
          </cell>
          <cell r="F2102">
            <v>106.16258239746089</v>
          </cell>
        </row>
        <row r="2103">
          <cell r="A2103">
            <v>45203</v>
          </cell>
          <cell r="B2103">
            <v>200.11647033691409</v>
          </cell>
          <cell r="C2103">
            <v>35.338954925537109</v>
          </cell>
          <cell r="D2103">
            <v>303.91265869140619</v>
          </cell>
          <cell r="E2103">
            <v>104.5437393188477</v>
          </cell>
          <cell r="F2103">
            <v>105.8349990844727</v>
          </cell>
        </row>
        <row r="2104">
          <cell r="A2104">
            <v>45204</v>
          </cell>
          <cell r="B2104">
            <v>200.2552490234375</v>
          </cell>
          <cell r="C2104">
            <v>35.299610137939453</v>
          </cell>
          <cell r="D2104">
            <v>303.12704467773438</v>
          </cell>
          <cell r="E2104">
            <v>105.7836456298828</v>
          </cell>
          <cell r="F2104">
            <v>105.78684234619141</v>
          </cell>
        </row>
        <row r="2105">
          <cell r="A2105">
            <v>45205</v>
          </cell>
          <cell r="B2105">
            <v>205.55879211425781</v>
          </cell>
          <cell r="C2105">
            <v>35.594673156738281</v>
          </cell>
          <cell r="D2105">
            <v>313.70895385742188</v>
          </cell>
          <cell r="E2105">
            <v>107.3555145263672</v>
          </cell>
          <cell r="F2105">
            <v>106.8273468017578</v>
          </cell>
        </row>
        <row r="2106">
          <cell r="A2106">
            <v>45208</v>
          </cell>
          <cell r="B2106">
            <v>205.41999816894531</v>
          </cell>
          <cell r="C2106">
            <v>35.466815948486328</v>
          </cell>
          <cell r="D2106">
            <v>316.62295532226563</v>
          </cell>
          <cell r="E2106">
            <v>107.7069854736328</v>
          </cell>
          <cell r="F2106">
            <v>107.71372985839839</v>
          </cell>
        </row>
        <row r="2107">
          <cell r="A2107">
            <v>45209</v>
          </cell>
          <cell r="B2107">
            <v>205.08296203613281</v>
          </cell>
          <cell r="C2107">
            <v>35.830726623535163</v>
          </cell>
          <cell r="D2107">
            <v>320.083984375</v>
          </cell>
          <cell r="E2107">
            <v>107.111442565918</v>
          </cell>
          <cell r="F2107">
            <v>108.2050857543945</v>
          </cell>
        </row>
        <row r="2108">
          <cell r="A2108">
            <v>45210</v>
          </cell>
          <cell r="B2108">
            <v>205.05322265625</v>
          </cell>
          <cell r="C2108">
            <v>36.273326873779297</v>
          </cell>
          <cell r="D2108">
            <v>326.03140258789063</v>
          </cell>
          <cell r="E2108">
            <v>107.43479919433589</v>
          </cell>
          <cell r="F2108">
            <v>107.0585861206055</v>
          </cell>
        </row>
        <row r="2109">
          <cell r="A2109">
            <v>45211</v>
          </cell>
          <cell r="B2109">
            <v>203.89337158203119</v>
          </cell>
          <cell r="C2109">
            <v>36.233982086181641</v>
          </cell>
          <cell r="D2109">
            <v>322.39129638671881</v>
          </cell>
          <cell r="E2109">
            <v>106.91546630859381</v>
          </cell>
          <cell r="F2109">
            <v>107.3861618041992</v>
          </cell>
        </row>
        <row r="2110">
          <cell r="A2110">
            <v>45212</v>
          </cell>
          <cell r="B2110">
            <v>202.8128356933594</v>
          </cell>
          <cell r="C2110">
            <v>35.3782958984375</v>
          </cell>
          <cell r="D2110">
            <v>312.9730224609375</v>
          </cell>
          <cell r="E2110">
            <v>106.0727462768555</v>
          </cell>
          <cell r="F2110">
            <v>104.6885070800781</v>
          </cell>
        </row>
        <row r="2111">
          <cell r="A2111">
            <v>45215</v>
          </cell>
          <cell r="B2111">
            <v>206.71861267089841</v>
          </cell>
          <cell r="C2111">
            <v>35.958591461181641</v>
          </cell>
          <cell r="D2111">
            <v>319.39773559570313</v>
          </cell>
          <cell r="E2111">
            <v>106.5235061645508</v>
          </cell>
          <cell r="F2111">
            <v>106.4708786010742</v>
          </cell>
        </row>
        <row r="2112">
          <cell r="A2112">
            <v>45216</v>
          </cell>
          <cell r="B2112">
            <v>208.0172424316406</v>
          </cell>
          <cell r="C2112">
            <v>35.466815948486328</v>
          </cell>
          <cell r="D2112">
            <v>322.232177734375</v>
          </cell>
          <cell r="E2112">
            <v>106.8468780517578</v>
          </cell>
          <cell r="F2112">
            <v>108.0991134643555</v>
          </cell>
        </row>
        <row r="2113">
          <cell r="A2113">
            <v>45217</v>
          </cell>
          <cell r="B2113">
            <v>203.05076599121091</v>
          </cell>
          <cell r="C2113">
            <v>35.053726196289063</v>
          </cell>
          <cell r="D2113">
            <v>315.24057006835938</v>
          </cell>
          <cell r="E2113">
            <v>106.0727462768555</v>
          </cell>
          <cell r="F2113">
            <v>106.923713684082</v>
          </cell>
        </row>
        <row r="2114">
          <cell r="A2114">
            <v>45218</v>
          </cell>
          <cell r="B2114">
            <v>206.51045227050781</v>
          </cell>
          <cell r="C2114">
            <v>35.083229064941413</v>
          </cell>
          <cell r="D2114">
            <v>311.10324096679688</v>
          </cell>
          <cell r="E2114">
            <v>106.1609420776367</v>
          </cell>
          <cell r="F2114">
            <v>107.2127380371094</v>
          </cell>
        </row>
        <row r="2115">
          <cell r="A2115">
            <v>45219</v>
          </cell>
          <cell r="B2115">
            <v>201.96031188964841</v>
          </cell>
          <cell r="C2115">
            <v>34.345561981201172</v>
          </cell>
          <cell r="D2115">
            <v>306.9659423828125</v>
          </cell>
          <cell r="E2115">
            <v>99.801475524902344</v>
          </cell>
          <cell r="F2115">
            <v>104.6595916748047</v>
          </cell>
        </row>
        <row r="2116">
          <cell r="A2116">
            <v>45222</v>
          </cell>
          <cell r="B2116">
            <v>200.24534606933591</v>
          </cell>
          <cell r="C2116">
            <v>33.293170928955078</v>
          </cell>
          <cell r="D2116">
            <v>312.2967529296875</v>
          </cell>
          <cell r="E2116">
            <v>101.575080871582</v>
          </cell>
          <cell r="F2116">
            <v>104.6885070800781</v>
          </cell>
        </row>
        <row r="2117">
          <cell r="A2117">
            <v>45223</v>
          </cell>
          <cell r="B2117">
            <v>202.446044921875</v>
          </cell>
          <cell r="C2117">
            <v>34.020999908447273</v>
          </cell>
          <cell r="D2117">
            <v>310.84466552734381</v>
          </cell>
          <cell r="E2117">
            <v>101.12432861328119</v>
          </cell>
          <cell r="F2117">
            <v>105.3918151855469</v>
          </cell>
        </row>
        <row r="2118">
          <cell r="A2118">
            <v>45224</v>
          </cell>
          <cell r="B2118">
            <v>195.34825134277341</v>
          </cell>
          <cell r="C2118">
            <v>32.289951324462891</v>
          </cell>
          <cell r="D2118">
            <v>297.89572143554688</v>
          </cell>
          <cell r="E2118">
            <v>99.389930725097656</v>
          </cell>
          <cell r="F2118">
            <v>100.9503173828125</v>
          </cell>
        </row>
        <row r="2119">
          <cell r="A2119">
            <v>45225</v>
          </cell>
          <cell r="B2119">
            <v>194.5452880859375</v>
          </cell>
          <cell r="C2119">
            <v>31.985044479370121</v>
          </cell>
          <cell r="D2119">
            <v>286.7767333984375</v>
          </cell>
          <cell r="E2119">
            <v>98.380645751953125</v>
          </cell>
          <cell r="F2119">
            <v>101.7596130371094</v>
          </cell>
        </row>
        <row r="2120">
          <cell r="A2120">
            <v>45226</v>
          </cell>
          <cell r="B2120">
            <v>194.86253356933591</v>
          </cell>
          <cell r="C2120">
            <v>34.955371856689453</v>
          </cell>
          <cell r="D2120">
            <v>295.11102294921881</v>
          </cell>
          <cell r="E2120">
            <v>98.958778381347656</v>
          </cell>
          <cell r="F2120">
            <v>102.5689010620117</v>
          </cell>
        </row>
        <row r="2121">
          <cell r="A2121">
            <v>45229</v>
          </cell>
          <cell r="B2121">
            <v>197.53907775878909</v>
          </cell>
          <cell r="C2121">
            <v>35.102901458740227</v>
          </cell>
          <cell r="D2121">
            <v>301.00863647460938</v>
          </cell>
          <cell r="E2121">
            <v>99.605506896972656</v>
          </cell>
          <cell r="F2121">
            <v>103.8888320922852</v>
          </cell>
        </row>
        <row r="2122">
          <cell r="A2122">
            <v>45230</v>
          </cell>
          <cell r="B2122">
            <v>199.08551025390619</v>
          </cell>
          <cell r="C2122">
            <v>35.899578094482422</v>
          </cell>
          <cell r="D2122">
            <v>299.626220703125</v>
          </cell>
          <cell r="E2122">
            <v>101.3203125</v>
          </cell>
          <cell r="F2122">
            <v>105.0064315795898</v>
          </cell>
        </row>
        <row r="2123">
          <cell r="A2123">
            <v>45231</v>
          </cell>
          <cell r="B2123">
            <v>202.13874816894531</v>
          </cell>
          <cell r="C2123">
            <v>36.676582336425781</v>
          </cell>
          <cell r="D2123">
            <v>310.14852905273438</v>
          </cell>
          <cell r="E2123">
            <v>103.6230392456055</v>
          </cell>
          <cell r="F2123">
            <v>106.8369979858398</v>
          </cell>
        </row>
        <row r="2124">
          <cell r="A2124">
            <v>45232</v>
          </cell>
          <cell r="B2124">
            <v>206.30226135253909</v>
          </cell>
          <cell r="C2124">
            <v>37.079841613769531</v>
          </cell>
          <cell r="D2124">
            <v>309.17379760742188</v>
          </cell>
          <cell r="E2124">
            <v>104.72052001953119</v>
          </cell>
          <cell r="F2124">
            <v>113.0705108642578</v>
          </cell>
        </row>
        <row r="2125">
          <cell r="A2125">
            <v>45233</v>
          </cell>
          <cell r="B2125">
            <v>205.66783142089841</v>
          </cell>
          <cell r="C2125">
            <v>37.512599945068359</v>
          </cell>
          <cell r="D2125">
            <v>312.88351440429688</v>
          </cell>
          <cell r="E2125">
            <v>105.8767852783203</v>
          </cell>
          <cell r="F2125">
            <v>115.1515579223633</v>
          </cell>
        </row>
        <row r="2126">
          <cell r="A2126">
            <v>45236</v>
          </cell>
          <cell r="B2126">
            <v>205.6182556152344</v>
          </cell>
          <cell r="C2126">
            <v>37.448455810546882</v>
          </cell>
          <cell r="D2126">
            <v>314.07696533203119</v>
          </cell>
          <cell r="E2126">
            <v>106.91546630859381</v>
          </cell>
          <cell r="F2126">
            <v>115.5465927124023</v>
          </cell>
        </row>
        <row r="2127">
          <cell r="A2127">
            <v>45237</v>
          </cell>
          <cell r="B2127">
            <v>209.99986267089841</v>
          </cell>
          <cell r="C2127">
            <v>38.257621765136719</v>
          </cell>
          <cell r="D2127">
            <v>317.08050537109381</v>
          </cell>
          <cell r="E2127">
            <v>106.7978591918945</v>
          </cell>
          <cell r="F2127">
            <v>116.3077087402344</v>
          </cell>
        </row>
        <row r="2128">
          <cell r="A2128">
            <v>45238</v>
          </cell>
          <cell r="B2128">
            <v>209.63307189941409</v>
          </cell>
          <cell r="C2128">
            <v>37.418853759765618</v>
          </cell>
          <cell r="D2128">
            <v>318.0352783203125</v>
          </cell>
          <cell r="E2128">
            <v>110.07070159912109</v>
          </cell>
          <cell r="F2128">
            <v>115.6718292236328</v>
          </cell>
        </row>
        <row r="2129">
          <cell r="A2129">
            <v>45239</v>
          </cell>
          <cell r="B2129">
            <v>208.1857604980469</v>
          </cell>
          <cell r="C2129">
            <v>37.300437927246087</v>
          </cell>
          <cell r="D2129">
            <v>318.801025390625</v>
          </cell>
          <cell r="E2129">
            <v>109.923713684082</v>
          </cell>
          <cell r="F2129">
            <v>115.7103729248047</v>
          </cell>
        </row>
        <row r="2130">
          <cell r="A2130">
            <v>45240</v>
          </cell>
          <cell r="B2130">
            <v>211.77430725097659</v>
          </cell>
          <cell r="C2130">
            <v>38.346431732177727</v>
          </cell>
          <cell r="D2130">
            <v>326.9761962890625</v>
          </cell>
          <cell r="E2130">
            <v>110.7958145141602</v>
          </cell>
          <cell r="F2130">
            <v>119.67015075683589</v>
          </cell>
        </row>
        <row r="2131">
          <cell r="A2131">
            <v>45243</v>
          </cell>
          <cell r="B2131">
            <v>213.40997314453119</v>
          </cell>
          <cell r="C2131">
            <v>37.724758148193359</v>
          </cell>
          <cell r="D2131">
            <v>327.39389038085938</v>
          </cell>
          <cell r="E2131">
            <v>111.8540954589844</v>
          </cell>
          <cell r="F2131">
            <v>119.32330322265619</v>
          </cell>
        </row>
        <row r="2132">
          <cell r="A2132">
            <v>45244</v>
          </cell>
          <cell r="B2132">
            <v>219.25871276855469</v>
          </cell>
          <cell r="C2132">
            <v>38.889163970947273</v>
          </cell>
          <cell r="D2132">
            <v>334.47506713867188</v>
          </cell>
          <cell r="E2132">
            <v>113.7648620605469</v>
          </cell>
          <cell r="F2132">
            <v>122.7050094604492</v>
          </cell>
        </row>
        <row r="2133">
          <cell r="A2133">
            <v>45245</v>
          </cell>
          <cell r="B2133">
            <v>217.5140075683594</v>
          </cell>
          <cell r="C2133">
            <v>40.073307037353523</v>
          </cell>
          <cell r="D2133">
            <v>330.89471435546881</v>
          </cell>
          <cell r="E2133">
            <v>111.7658996582031</v>
          </cell>
          <cell r="F2133">
            <v>124.20799255371089</v>
          </cell>
        </row>
        <row r="2134">
          <cell r="A2134">
            <v>45246</v>
          </cell>
          <cell r="B2134">
            <v>219.52638244628909</v>
          </cell>
          <cell r="C2134">
            <v>42.777091979980469</v>
          </cell>
          <cell r="D2134">
            <v>332.36666870117188</v>
          </cell>
          <cell r="E2134">
            <v>112.36362457275391</v>
          </cell>
          <cell r="F2134">
            <v>123.9960403442383</v>
          </cell>
        </row>
        <row r="2135">
          <cell r="A2135">
            <v>45247</v>
          </cell>
          <cell r="B2135">
            <v>219.29838562011719</v>
          </cell>
          <cell r="C2135">
            <v>43.231014251708977</v>
          </cell>
          <cell r="D2135">
            <v>333.21197509765619</v>
          </cell>
          <cell r="E2135">
            <v>113.0397567749023</v>
          </cell>
          <cell r="F2135">
            <v>124.73789978027339</v>
          </cell>
        </row>
        <row r="2136">
          <cell r="A2136">
            <v>45250</v>
          </cell>
          <cell r="B2136">
            <v>223.17442321777341</v>
          </cell>
          <cell r="C2136">
            <v>44.148723602294922</v>
          </cell>
          <cell r="D2136">
            <v>338.11508178710938</v>
          </cell>
          <cell r="E2136">
            <v>114.56837463378911</v>
          </cell>
          <cell r="F2136">
            <v>124.7764358520508</v>
          </cell>
        </row>
        <row r="2137">
          <cell r="A2137">
            <v>45251</v>
          </cell>
          <cell r="B2137">
            <v>222.3714599609375</v>
          </cell>
          <cell r="C2137">
            <v>43.063259124755859</v>
          </cell>
          <cell r="D2137">
            <v>335.141357421875</v>
          </cell>
          <cell r="E2137">
            <v>113.7452697753906</v>
          </cell>
          <cell r="F2137">
            <v>122.3774337768555</v>
          </cell>
        </row>
        <row r="2138">
          <cell r="A2138">
            <v>45252</v>
          </cell>
          <cell r="B2138">
            <v>221.89564514160159</v>
          </cell>
          <cell r="C2138">
            <v>43.092861175537109</v>
          </cell>
          <cell r="D2138">
            <v>339.62677001953119</v>
          </cell>
          <cell r="E2138">
            <v>113.9020538330078</v>
          </cell>
          <cell r="F2138">
            <v>122.8398895263672</v>
          </cell>
        </row>
        <row r="2139">
          <cell r="A2139">
            <v>45254</v>
          </cell>
          <cell r="B2139">
            <v>222.4309387207031</v>
          </cell>
          <cell r="C2139">
            <v>43.379032135009773</v>
          </cell>
          <cell r="D2139">
            <v>336.38458251953119</v>
          </cell>
          <cell r="E2139">
            <v>113.91184997558589</v>
          </cell>
          <cell r="F2139">
            <v>123.08074951171881</v>
          </cell>
        </row>
        <row r="2140">
          <cell r="A2140">
            <v>45257</v>
          </cell>
          <cell r="B2140">
            <v>222.8373718261719</v>
          </cell>
          <cell r="C2140">
            <v>43.497447967529297</v>
          </cell>
          <cell r="D2140">
            <v>332.87384033203119</v>
          </cell>
          <cell r="E2140">
            <v>114.1274337768555</v>
          </cell>
          <cell r="F2140">
            <v>123.51429748535161</v>
          </cell>
        </row>
        <row r="2141">
          <cell r="A2141">
            <v>45258</v>
          </cell>
          <cell r="B2141">
            <v>222.9662170410156</v>
          </cell>
          <cell r="C2141">
            <v>43.645462036132813</v>
          </cell>
          <cell r="D2141">
            <v>337.14041137695313</v>
          </cell>
          <cell r="E2141">
            <v>113.9020538330078</v>
          </cell>
          <cell r="F2141">
            <v>121.96315002441411</v>
          </cell>
        </row>
        <row r="2142">
          <cell r="A2142">
            <v>45259</v>
          </cell>
          <cell r="B2142">
            <v>228.3490905761719</v>
          </cell>
          <cell r="C2142">
            <v>44.346080780029297</v>
          </cell>
          <cell r="D2142">
            <v>330.38748168945313</v>
          </cell>
          <cell r="E2142">
            <v>113.87265777587891</v>
          </cell>
          <cell r="F2142">
            <v>124.018669128418</v>
          </cell>
        </row>
        <row r="2143">
          <cell r="A2143">
            <v>45260</v>
          </cell>
          <cell r="B2143">
            <v>249.71189880371091</v>
          </cell>
          <cell r="C2143">
            <v>44.109249114990227</v>
          </cell>
          <cell r="D2143">
            <v>325.36502075195313</v>
          </cell>
          <cell r="E2143">
            <v>113.87265777587891</v>
          </cell>
          <cell r="F2143">
            <v>125.1239929199219</v>
          </cell>
        </row>
        <row r="2144">
          <cell r="A2144">
            <v>45261</v>
          </cell>
          <cell r="B2144">
            <v>257.74154663085938</v>
          </cell>
          <cell r="C2144">
            <v>43.161941528320313</v>
          </cell>
          <cell r="D2144">
            <v>323.04776000976563</v>
          </cell>
          <cell r="E2144">
            <v>114.80356597900391</v>
          </cell>
          <cell r="F2144">
            <v>125.7251052856445</v>
          </cell>
        </row>
        <row r="2145">
          <cell r="A2145">
            <v>45264</v>
          </cell>
          <cell r="B2145">
            <v>248.482666015625</v>
          </cell>
          <cell r="C2145">
            <v>41.790306091308587</v>
          </cell>
          <cell r="D2145">
            <v>318.27389526367188</v>
          </cell>
          <cell r="E2145">
            <v>113.4512939453125</v>
          </cell>
          <cell r="F2145">
            <v>125.99660491943359</v>
          </cell>
        </row>
        <row r="2146">
          <cell r="A2146">
            <v>45265</v>
          </cell>
          <cell r="B2146">
            <v>248.83952331542969</v>
          </cell>
          <cell r="C2146">
            <v>41.365989685058587</v>
          </cell>
          <cell r="D2146">
            <v>316.5533447265625</v>
          </cell>
          <cell r="E2146">
            <v>112.22646331787109</v>
          </cell>
          <cell r="F2146">
            <v>126.77227783203119</v>
          </cell>
        </row>
        <row r="2147">
          <cell r="A2147">
            <v>45266</v>
          </cell>
          <cell r="B2147">
            <v>246.96592712402341</v>
          </cell>
          <cell r="C2147">
            <v>40.724582672119141</v>
          </cell>
          <cell r="D2147">
            <v>315.71792602539063</v>
          </cell>
          <cell r="E2147">
            <v>109.776725769043</v>
          </cell>
          <cell r="F2147">
            <v>126.0063095092773</v>
          </cell>
        </row>
        <row r="2148">
          <cell r="A2148">
            <v>45267</v>
          </cell>
          <cell r="B2148">
            <v>246.6883850097656</v>
          </cell>
          <cell r="C2148">
            <v>41.592952728271477</v>
          </cell>
          <cell r="D2148">
            <v>324.80810546875</v>
          </cell>
          <cell r="E2148">
            <v>110.59983825683589</v>
          </cell>
          <cell r="F2148">
            <v>128.8956298828125</v>
          </cell>
        </row>
        <row r="2149">
          <cell r="A2149">
            <v>45268</v>
          </cell>
          <cell r="B2149">
            <v>248.63136291503909</v>
          </cell>
          <cell r="C2149">
            <v>42.135684967041023</v>
          </cell>
          <cell r="D2149">
            <v>330.93447875976563</v>
          </cell>
          <cell r="E2149">
            <v>111.3249588012695</v>
          </cell>
          <cell r="F2149">
            <v>128.92474365234381</v>
          </cell>
        </row>
        <row r="2150">
          <cell r="A2150">
            <v>45271</v>
          </cell>
          <cell r="B2150">
            <v>249.91014099121091</v>
          </cell>
          <cell r="C2150">
            <v>43.951366424560547</v>
          </cell>
          <cell r="D2150">
            <v>323.50521850585938</v>
          </cell>
          <cell r="E2150">
            <v>112.8143844604492</v>
          </cell>
          <cell r="F2150">
            <v>131.9595031738281</v>
          </cell>
        </row>
        <row r="2151">
          <cell r="A2151">
            <v>45272</v>
          </cell>
          <cell r="B2151">
            <v>254.22236633300781</v>
          </cell>
          <cell r="C2151">
            <v>43.457977294921882</v>
          </cell>
          <cell r="D2151">
            <v>332.396484375</v>
          </cell>
          <cell r="E2151">
            <v>98.782402038574219</v>
          </cell>
          <cell r="F2151">
            <v>132.5218505859375</v>
          </cell>
        </row>
        <row r="2152">
          <cell r="A2152">
            <v>45273</v>
          </cell>
          <cell r="B2152">
            <v>255.0848083496094</v>
          </cell>
          <cell r="C2152">
            <v>43.980968475341797</v>
          </cell>
          <cell r="D2152">
            <v>332.91363525390619</v>
          </cell>
          <cell r="E2152">
            <v>100.9185485839844</v>
          </cell>
          <cell r="F2152">
            <v>134.57737731933591</v>
          </cell>
        </row>
        <row r="2153">
          <cell r="A2153">
            <v>45274</v>
          </cell>
          <cell r="B2153">
            <v>254.97576904296881</v>
          </cell>
          <cell r="C2153">
            <v>44.582908630371087</v>
          </cell>
          <cell r="D2153">
            <v>331.35220336914063</v>
          </cell>
          <cell r="E2153">
            <v>98.292442321777344</v>
          </cell>
          <cell r="F2153">
            <v>137.19520568847659</v>
          </cell>
        </row>
        <row r="2154">
          <cell r="A2154">
            <v>45275</v>
          </cell>
          <cell r="B2154">
            <v>259.32763671875</v>
          </cell>
          <cell r="C2154">
            <v>45.549957275390618</v>
          </cell>
          <cell r="D2154">
            <v>333.09262084960938</v>
          </cell>
          <cell r="E2154">
            <v>101.2419128417969</v>
          </cell>
          <cell r="F2154">
            <v>138.77565002441409</v>
          </cell>
        </row>
        <row r="2155">
          <cell r="A2155">
            <v>45278</v>
          </cell>
          <cell r="B2155">
            <v>261.30035400390619</v>
          </cell>
          <cell r="C2155">
            <v>45.086166381835938</v>
          </cell>
          <cell r="D2155">
            <v>342.73971557617188</v>
          </cell>
          <cell r="E2155">
            <v>102.8881301879883</v>
          </cell>
          <cell r="F2155">
            <v>137.34065246582031</v>
          </cell>
        </row>
        <row r="2156">
          <cell r="A2156">
            <v>45279</v>
          </cell>
          <cell r="B2156">
            <v>262.0438232421875</v>
          </cell>
          <cell r="C2156">
            <v>46.043350219726563</v>
          </cell>
          <cell r="D2156">
            <v>348.4483642578125</v>
          </cell>
          <cell r="E2156">
            <v>104.11297607421881</v>
          </cell>
          <cell r="F2156">
            <v>138.8725891113281</v>
          </cell>
        </row>
        <row r="2157">
          <cell r="A2157">
            <v>45280</v>
          </cell>
          <cell r="B2157">
            <v>257.98934936523438</v>
          </cell>
          <cell r="C2157">
            <v>45.155239105224609</v>
          </cell>
          <cell r="D2157">
            <v>347.374267578125</v>
          </cell>
          <cell r="E2157">
            <v>102.0552215576172</v>
          </cell>
          <cell r="F2157">
            <v>136.16746520996091</v>
          </cell>
        </row>
        <row r="2158">
          <cell r="A2158">
            <v>45281</v>
          </cell>
          <cell r="B2158">
            <v>264.92852783203119</v>
          </cell>
          <cell r="C2158">
            <v>46.457801818847663</v>
          </cell>
          <cell r="D2158">
            <v>352.15802001953119</v>
          </cell>
          <cell r="E2158">
            <v>103.7308349609375</v>
          </cell>
          <cell r="F2158">
            <v>138.10662841796881</v>
          </cell>
        </row>
        <row r="2159">
          <cell r="A2159">
            <v>45282</v>
          </cell>
          <cell r="B2159">
            <v>264.02639770507813</v>
          </cell>
          <cell r="C2159">
            <v>47.365638732910163</v>
          </cell>
          <cell r="D2159">
            <v>351.46185302734381</v>
          </cell>
          <cell r="E2159">
            <v>104.0639953613281</v>
          </cell>
          <cell r="F2159">
            <v>139.12469482421881</v>
          </cell>
        </row>
        <row r="2160">
          <cell r="A2160">
            <v>45286</v>
          </cell>
          <cell r="B2160">
            <v>263.90753173828119</v>
          </cell>
          <cell r="C2160">
            <v>49.832599639892578</v>
          </cell>
          <cell r="D2160">
            <v>352.89401245117188</v>
          </cell>
          <cell r="E2160">
            <v>104.05419921875</v>
          </cell>
          <cell r="F2160">
            <v>141.0347595214844</v>
          </cell>
        </row>
        <row r="2161">
          <cell r="A2161">
            <v>45287</v>
          </cell>
          <cell r="B2161">
            <v>264.40313720703119</v>
          </cell>
          <cell r="C2161">
            <v>50.089160919189453</v>
          </cell>
          <cell r="D2161">
            <v>355.87762451171881</v>
          </cell>
          <cell r="E2161">
            <v>103.80921936035161</v>
          </cell>
          <cell r="F2161">
            <v>141.28684997558591</v>
          </cell>
        </row>
        <row r="2162">
          <cell r="A2162">
            <v>45288</v>
          </cell>
          <cell r="B2162">
            <v>263.2730712890625</v>
          </cell>
          <cell r="C2162">
            <v>49.724056243896477</v>
          </cell>
          <cell r="D2162">
            <v>356.36495971679688</v>
          </cell>
          <cell r="E2162">
            <v>104.11297607421881</v>
          </cell>
          <cell r="F2162">
            <v>141.4225769042969</v>
          </cell>
        </row>
        <row r="2163">
          <cell r="A2163">
            <v>45289</v>
          </cell>
          <cell r="B2163">
            <v>260.85427856445313</v>
          </cell>
          <cell r="C2163">
            <v>49.585903167724609</v>
          </cell>
          <cell r="D2163">
            <v>352.02874755859381</v>
          </cell>
          <cell r="E2163">
            <v>103.30947113037109</v>
          </cell>
          <cell r="F2163">
            <v>140.23002624511719</v>
          </cell>
        </row>
        <row r="2164">
          <cell r="A2164">
            <v>45293</v>
          </cell>
          <cell r="B2164">
            <v>253.90513610839841</v>
          </cell>
          <cell r="C2164">
            <v>47.168281555175781</v>
          </cell>
          <cell r="D2164">
            <v>344.40060424804688</v>
          </cell>
          <cell r="E2164">
            <v>101.9670333862305</v>
          </cell>
          <cell r="F2164">
            <v>135.96385192871091</v>
          </cell>
        </row>
        <row r="2165">
          <cell r="A2165">
            <v>45294</v>
          </cell>
          <cell r="B2165">
            <v>249.65242004394531</v>
          </cell>
          <cell r="C2165">
            <v>46.428192138671882</v>
          </cell>
          <cell r="D2165">
            <v>342.59054565429688</v>
          </cell>
          <cell r="E2165">
            <v>100.3992080688477</v>
          </cell>
          <cell r="F2165">
            <v>133.41389465332031</v>
          </cell>
        </row>
        <row r="2166">
          <cell r="A2166">
            <v>45295</v>
          </cell>
          <cell r="B2166">
            <v>249.0576171875</v>
          </cell>
          <cell r="C2166">
            <v>46.250572204589837</v>
          </cell>
          <cell r="D2166">
            <v>345.22604370117188</v>
          </cell>
          <cell r="E2166">
            <v>100.52659606933589</v>
          </cell>
          <cell r="F2166">
            <v>132.02738952636719</v>
          </cell>
        </row>
        <row r="2167">
          <cell r="A2167">
            <v>45296</v>
          </cell>
          <cell r="B2167">
            <v>248.93865966796881</v>
          </cell>
          <cell r="C2167">
            <v>46.270305633544922</v>
          </cell>
          <cell r="D2167">
            <v>350.02969360351563</v>
          </cell>
          <cell r="E2167">
            <v>100.6637878417969</v>
          </cell>
          <cell r="F2167">
            <v>132.57032775878909</v>
          </cell>
        </row>
        <row r="2168">
          <cell r="A2168">
            <v>45299</v>
          </cell>
          <cell r="B2168">
            <v>258.60394287109381</v>
          </cell>
          <cell r="C2168">
            <v>47.8096923828125</v>
          </cell>
          <cell r="D2168">
            <v>356.70306396484381</v>
          </cell>
          <cell r="E2168">
            <v>102.5549621582031</v>
          </cell>
          <cell r="F2168">
            <v>134.80033874511719</v>
          </cell>
        </row>
        <row r="2169">
          <cell r="A2169">
            <v>45300</v>
          </cell>
          <cell r="B2169">
            <v>259.06985473632813</v>
          </cell>
          <cell r="C2169">
            <v>47.41497802734375</v>
          </cell>
          <cell r="D2169">
            <v>355.47982788085938</v>
          </cell>
          <cell r="E2169">
            <v>101.54567718505859</v>
          </cell>
          <cell r="F2169">
            <v>135.63420104980469</v>
          </cell>
        </row>
        <row r="2170">
          <cell r="A2170">
            <v>45301</v>
          </cell>
          <cell r="B2170">
            <v>261.83563232421881</v>
          </cell>
          <cell r="C2170">
            <v>46.842647552490227</v>
          </cell>
          <cell r="D2170">
            <v>368.44869995117188</v>
          </cell>
          <cell r="E2170">
            <v>102.2244186401367</v>
          </cell>
          <cell r="F2170">
            <v>135.07185363769531</v>
          </cell>
        </row>
        <row r="2171">
          <cell r="A2171">
            <v>45302</v>
          </cell>
          <cell r="B2171">
            <v>269.02264404296881</v>
          </cell>
          <cell r="C2171">
            <v>47.010395050048828</v>
          </cell>
          <cell r="D2171">
            <v>367.65304565429688</v>
          </cell>
          <cell r="E2171">
            <v>103.0605545043945</v>
          </cell>
          <cell r="F2171">
            <v>134.80033874511719</v>
          </cell>
        </row>
        <row r="2172">
          <cell r="A2172">
            <v>45303</v>
          </cell>
          <cell r="B2172">
            <v>269.56790161132813</v>
          </cell>
          <cell r="C2172">
            <v>46.497268676757813</v>
          </cell>
          <cell r="D2172">
            <v>372.44671630859381</v>
          </cell>
          <cell r="E2172">
            <v>104.86069488525391</v>
          </cell>
          <cell r="F2172">
            <v>135.93476867675781</v>
          </cell>
        </row>
        <row r="2173">
          <cell r="A2173">
            <v>45307</v>
          </cell>
          <cell r="B2173">
            <v>266.85171508789063</v>
          </cell>
          <cell r="C2173">
            <v>46.438068389892578</v>
          </cell>
          <cell r="D2173">
            <v>365.45501708984381</v>
          </cell>
          <cell r="E2173">
            <v>104.8311767578125</v>
          </cell>
          <cell r="F2173">
            <v>136.82676696777341</v>
          </cell>
        </row>
        <row r="2174">
          <cell r="A2174">
            <v>45308</v>
          </cell>
          <cell r="B2174">
            <v>269.08212280273438</v>
          </cell>
          <cell r="C2174">
            <v>45.451278686523438</v>
          </cell>
          <cell r="D2174">
            <v>366.36013793945313</v>
          </cell>
          <cell r="E2174">
            <v>104.693473815918</v>
          </cell>
          <cell r="F2174">
            <v>135.08154296875</v>
          </cell>
        </row>
        <row r="2175">
          <cell r="A2175">
            <v>45309</v>
          </cell>
          <cell r="B2175">
            <v>272.07586669921881</v>
          </cell>
          <cell r="C2175">
            <v>46.122291564941413</v>
          </cell>
          <cell r="D2175">
            <v>374.07778930664063</v>
          </cell>
          <cell r="E2175">
            <v>106.9264297485352</v>
          </cell>
          <cell r="F2175">
            <v>140.86991882324219</v>
          </cell>
        </row>
        <row r="2176">
          <cell r="A2176">
            <v>45310</v>
          </cell>
          <cell r="B2176">
            <v>278.44015502929688</v>
          </cell>
          <cell r="C2176">
            <v>47.513656616210938</v>
          </cell>
          <cell r="D2176">
            <v>381.35787963867188</v>
          </cell>
          <cell r="E2176">
            <v>107.88059997558589</v>
          </cell>
          <cell r="F2176">
            <v>147.3370056152344</v>
          </cell>
        </row>
        <row r="2177">
          <cell r="A2177">
            <v>45313</v>
          </cell>
          <cell r="B2177">
            <v>277.86520385742188</v>
          </cell>
          <cell r="C2177">
            <v>47.582736968994141</v>
          </cell>
          <cell r="D2177">
            <v>379.69696044921881</v>
          </cell>
          <cell r="E2177">
            <v>108.3035888671875</v>
          </cell>
          <cell r="F2177">
            <v>148.21934509277341</v>
          </cell>
        </row>
        <row r="2178">
          <cell r="A2178">
            <v>45314</v>
          </cell>
          <cell r="B2178">
            <v>274.3658447265625</v>
          </cell>
          <cell r="C2178">
            <v>48.243877410888672</v>
          </cell>
          <cell r="D2178">
            <v>383.09832763671881</v>
          </cell>
          <cell r="E2178">
            <v>110.0053634643555</v>
          </cell>
          <cell r="F2178">
            <v>148.8301696777344</v>
          </cell>
        </row>
        <row r="2179">
          <cell r="A2179">
            <v>45315</v>
          </cell>
          <cell r="B2179">
            <v>274.47491455078119</v>
          </cell>
          <cell r="C2179">
            <v>48.441234588623047</v>
          </cell>
          <cell r="D2179">
            <v>388.56829833984381</v>
          </cell>
          <cell r="E2179">
            <v>112.4448928833008</v>
          </cell>
          <cell r="F2179">
            <v>149.67369079589841</v>
          </cell>
        </row>
        <row r="2180">
          <cell r="A2180">
            <v>45316</v>
          </cell>
          <cell r="B2180">
            <v>276.60623168945313</v>
          </cell>
          <cell r="C2180">
            <v>48.895153045654297</v>
          </cell>
          <cell r="D2180">
            <v>391.03472900390619</v>
          </cell>
          <cell r="E2180">
            <v>113.12363433837891</v>
          </cell>
          <cell r="F2180">
            <v>149.7706604003906</v>
          </cell>
        </row>
        <row r="2181">
          <cell r="A2181">
            <v>45317</v>
          </cell>
          <cell r="B2181">
            <v>277.50830078125</v>
          </cell>
          <cell r="C2181">
            <v>43.073127746582031</v>
          </cell>
          <cell r="D2181">
            <v>391.98953247070313</v>
          </cell>
          <cell r="E2181">
            <v>112.76950836181641</v>
          </cell>
          <cell r="F2181">
            <v>146.1347351074219</v>
          </cell>
        </row>
        <row r="2182">
          <cell r="A2182">
            <v>45320</v>
          </cell>
          <cell r="B2182">
            <v>285.35952758789063</v>
          </cell>
          <cell r="C2182">
            <v>43.260616302490227</v>
          </cell>
          <cell r="D2182">
            <v>398.83197021484381</v>
          </cell>
          <cell r="E2182">
            <v>111.8940353393555</v>
          </cell>
          <cell r="F2182">
            <v>145.08758544921881</v>
          </cell>
        </row>
        <row r="2183">
          <cell r="A2183">
            <v>45321</v>
          </cell>
          <cell r="B2183">
            <v>285.23068237304688</v>
          </cell>
          <cell r="C2183">
            <v>42.352775573730469</v>
          </cell>
          <cell r="D2183">
            <v>397.877197265625</v>
          </cell>
          <cell r="E2183">
            <v>112.29734039306641</v>
          </cell>
          <cell r="F2183">
            <v>141.5389404296875</v>
          </cell>
        </row>
        <row r="2184">
          <cell r="A2184">
            <v>45322</v>
          </cell>
          <cell r="B2184">
            <v>278.6483154296875</v>
          </cell>
          <cell r="C2184">
            <v>42.510662078857422</v>
          </cell>
          <cell r="D2184">
            <v>388.01132202148438</v>
          </cell>
          <cell r="E2184">
            <v>109.8774795532227</v>
          </cell>
          <cell r="F2184">
            <v>143.99195861816409</v>
          </cell>
        </row>
        <row r="2185">
          <cell r="A2185">
            <v>45323</v>
          </cell>
          <cell r="B2185">
            <v>281.33480834960938</v>
          </cell>
          <cell r="C2185">
            <v>42.786964416503913</v>
          </cell>
          <cell r="D2185">
            <v>392.62600708007813</v>
          </cell>
          <cell r="E2185">
            <v>113.64499664306641</v>
          </cell>
          <cell r="F2185">
            <v>136.81707763671881</v>
          </cell>
        </row>
        <row r="2186">
          <cell r="A2186">
            <v>45324</v>
          </cell>
          <cell r="B2186">
            <v>283.17864990234381</v>
          </cell>
          <cell r="C2186">
            <v>42.037002563476563</v>
          </cell>
          <cell r="D2186">
            <v>472.39837646484381</v>
          </cell>
          <cell r="E2186">
            <v>113.900749206543</v>
          </cell>
          <cell r="F2186">
            <v>137.3794250488281</v>
          </cell>
        </row>
        <row r="2187">
          <cell r="A2187">
            <v>45327</v>
          </cell>
          <cell r="B2187">
            <v>285.60733032226563</v>
          </cell>
          <cell r="C2187">
            <v>42.204761505126953</v>
          </cell>
          <cell r="D2187">
            <v>456.90341186523438</v>
          </cell>
          <cell r="E2187">
            <v>114.4909591674805</v>
          </cell>
          <cell r="F2187">
            <v>139.64823913574219</v>
          </cell>
        </row>
        <row r="2188">
          <cell r="A2188">
            <v>45328</v>
          </cell>
          <cell r="B2188">
            <v>283.34713745117188</v>
          </cell>
          <cell r="C2188">
            <v>42.298778533935547</v>
          </cell>
          <cell r="D2188">
            <v>452.239013671875</v>
          </cell>
          <cell r="E2188">
            <v>113.4187469482422</v>
          </cell>
          <cell r="F2188">
            <v>139.71612548828119</v>
          </cell>
        </row>
        <row r="2189">
          <cell r="A2189">
            <v>45329</v>
          </cell>
          <cell r="B2189">
            <v>286.33102416992188</v>
          </cell>
          <cell r="C2189">
            <v>42.338363647460938</v>
          </cell>
          <cell r="D2189">
            <v>467.02789306640619</v>
          </cell>
          <cell r="E2189">
            <v>115.3565979003906</v>
          </cell>
          <cell r="F2189">
            <v>141.45166015625</v>
          </cell>
        </row>
        <row r="2190">
          <cell r="A2190">
            <v>45330</v>
          </cell>
          <cell r="B2190">
            <v>289.41400146484381</v>
          </cell>
          <cell r="C2190">
            <v>42.061256408691413</v>
          </cell>
          <cell r="D2190">
            <v>467.43560791015619</v>
          </cell>
          <cell r="E2190">
            <v>114.77622222900391</v>
          </cell>
          <cell r="F2190">
            <v>143.67201232910159</v>
          </cell>
        </row>
        <row r="2191">
          <cell r="A2191">
            <v>45331</v>
          </cell>
          <cell r="B2191">
            <v>288.76962280273438</v>
          </cell>
          <cell r="C2191">
            <v>42.862892150878913</v>
          </cell>
          <cell r="D2191">
            <v>465.55593872070313</v>
          </cell>
          <cell r="E2191">
            <v>114.7368698120117</v>
          </cell>
          <cell r="F2191">
            <v>146.40623474121091</v>
          </cell>
        </row>
        <row r="2192">
          <cell r="A2192">
            <v>45334</v>
          </cell>
          <cell r="B2192">
            <v>284.82424926757813</v>
          </cell>
          <cell r="C2192">
            <v>43.575458526611328</v>
          </cell>
          <cell r="D2192">
            <v>466.34161376953119</v>
          </cell>
          <cell r="E2192">
            <v>113.94992828369141</v>
          </cell>
          <cell r="F2192">
            <v>148.44233703613281</v>
          </cell>
        </row>
        <row r="2193">
          <cell r="A2193">
            <v>45335</v>
          </cell>
          <cell r="B2193">
            <v>278.707763671875</v>
          </cell>
          <cell r="C2193">
            <v>42.714439392089837</v>
          </cell>
          <cell r="D2193">
            <v>457.6094970703125</v>
          </cell>
          <cell r="E2193">
            <v>111.82517242431641</v>
          </cell>
          <cell r="F2193">
            <v>145.47540283203119</v>
          </cell>
        </row>
        <row r="2194">
          <cell r="A2194">
            <v>45336</v>
          </cell>
          <cell r="B2194">
            <v>286.6383056640625</v>
          </cell>
          <cell r="C2194">
            <v>43.733806610107422</v>
          </cell>
          <cell r="D2194">
            <v>470.69769287109381</v>
          </cell>
          <cell r="E2194">
            <v>112.3957138061523</v>
          </cell>
          <cell r="F2194">
            <v>149.25675964355469</v>
          </cell>
        </row>
        <row r="2195">
          <cell r="A2195">
            <v>45337</v>
          </cell>
          <cell r="B2195">
            <v>289.40411376953119</v>
          </cell>
          <cell r="C2195">
            <v>43.595252990722663</v>
          </cell>
          <cell r="D2195">
            <v>481.38909912109381</v>
          </cell>
          <cell r="E2195">
            <v>110.9398574829102</v>
          </cell>
          <cell r="F2195">
            <v>151.23469543457031</v>
          </cell>
        </row>
        <row r="2196">
          <cell r="A2196">
            <v>45338</v>
          </cell>
          <cell r="B2196">
            <v>287.20333862304688</v>
          </cell>
          <cell r="C2196">
            <v>43.060829162597663</v>
          </cell>
          <cell r="D2196">
            <v>470.73745727539063</v>
          </cell>
          <cell r="E2196">
            <v>109.4938430786133</v>
          </cell>
          <cell r="F2196">
            <v>148.0447998046875</v>
          </cell>
        </row>
        <row r="2197">
          <cell r="A2197">
            <v>45342</v>
          </cell>
          <cell r="B2197">
            <v>283.90231323242188</v>
          </cell>
          <cell r="C2197">
            <v>44.060401916503913</v>
          </cell>
          <cell r="D2197">
            <v>469.17608642578119</v>
          </cell>
          <cell r="E2197">
            <v>106.6805114746094</v>
          </cell>
          <cell r="F2197">
            <v>147.3370056152344</v>
          </cell>
        </row>
        <row r="2198">
          <cell r="A2198">
            <v>45343</v>
          </cell>
          <cell r="B2198">
            <v>281.0869140625</v>
          </cell>
          <cell r="C2198">
            <v>43.021244049072273</v>
          </cell>
          <cell r="D2198">
            <v>465.97024536132813</v>
          </cell>
          <cell r="E2198">
            <v>106.39524841308589</v>
          </cell>
          <cell r="F2198">
            <v>147.3854675292969</v>
          </cell>
        </row>
        <row r="2199">
          <cell r="A2199">
            <v>45344</v>
          </cell>
          <cell r="B2199">
            <v>291.09921264648438</v>
          </cell>
          <cell r="C2199">
            <v>42.536300659179688</v>
          </cell>
          <cell r="D2199">
            <v>483.9906005859375</v>
          </cell>
          <cell r="E2199">
            <v>109.19874572753911</v>
          </cell>
          <cell r="F2199">
            <v>150.04212951660159</v>
          </cell>
        </row>
        <row r="2200">
          <cell r="A2200">
            <v>45345</v>
          </cell>
          <cell r="B2200">
            <v>290.25656127929688</v>
          </cell>
          <cell r="C2200">
            <v>42.546195983886719</v>
          </cell>
          <cell r="D2200">
            <v>481.89987182617188</v>
          </cell>
          <cell r="E2200">
            <v>110.12339782714839</v>
          </cell>
          <cell r="F2200">
            <v>150.19725036621091</v>
          </cell>
        </row>
        <row r="2201">
          <cell r="A2201">
            <v>45348</v>
          </cell>
          <cell r="B2201">
            <v>297.78070068359381</v>
          </cell>
          <cell r="C2201">
            <v>42.546195983886719</v>
          </cell>
          <cell r="D2201">
            <v>479.619873046875</v>
          </cell>
          <cell r="E2201">
            <v>109.15940093994141</v>
          </cell>
          <cell r="F2201">
            <v>152.25274658203119</v>
          </cell>
        </row>
        <row r="2202">
          <cell r="A2202">
            <v>45349</v>
          </cell>
          <cell r="B2202">
            <v>296.89840698242188</v>
          </cell>
          <cell r="C2202">
            <v>42.28887939453125</v>
          </cell>
          <cell r="D2202">
            <v>484.90655517578119</v>
          </cell>
          <cell r="E2202">
            <v>109.5627059936523</v>
          </cell>
          <cell r="F2202">
            <v>153.48411560058591</v>
          </cell>
        </row>
        <row r="2203">
          <cell r="A2203">
            <v>45350</v>
          </cell>
          <cell r="B2203">
            <v>297.16607666015619</v>
          </cell>
          <cell r="C2203">
            <v>41.5565185546875</v>
          </cell>
          <cell r="D2203">
            <v>481.88986206054688</v>
          </cell>
          <cell r="E2203">
            <v>109.85781097412109</v>
          </cell>
          <cell r="F2203">
            <v>151.8761901855469</v>
          </cell>
        </row>
        <row r="2204">
          <cell r="A2204">
            <v>45351</v>
          </cell>
          <cell r="B2204">
            <v>306.13751220703119</v>
          </cell>
          <cell r="C2204">
            <v>42.605575561523438</v>
          </cell>
          <cell r="D2204">
            <v>487.97299194335938</v>
          </cell>
          <cell r="E2204">
            <v>109.85781097412109</v>
          </cell>
          <cell r="F2204">
            <v>153.7667236328125</v>
          </cell>
        </row>
        <row r="2205">
          <cell r="A2205">
            <v>45352</v>
          </cell>
          <cell r="B2205">
            <v>314.12744140625</v>
          </cell>
          <cell r="C2205">
            <v>43.367630004882813</v>
          </cell>
          <cell r="D2205">
            <v>500.08941650390619</v>
          </cell>
          <cell r="E2205">
            <v>111.9235534667969</v>
          </cell>
          <cell r="F2205">
            <v>158.9316101074219</v>
          </cell>
        </row>
        <row r="2206">
          <cell r="A2206">
            <v>45355</v>
          </cell>
          <cell r="B2206">
            <v>311.90692138671881</v>
          </cell>
          <cell r="C2206">
            <v>45.139152526855469</v>
          </cell>
          <cell r="D2206">
            <v>495.99752807617188</v>
          </cell>
          <cell r="E2206">
            <v>112.198974609375</v>
          </cell>
          <cell r="F2206">
            <v>162.3131103515625</v>
          </cell>
        </row>
        <row r="2207">
          <cell r="A2207">
            <v>45356</v>
          </cell>
          <cell r="B2207">
            <v>296.15493774414063</v>
          </cell>
          <cell r="C2207">
            <v>42.714439392089837</v>
          </cell>
          <cell r="D2207">
            <v>488.06259155273438</v>
          </cell>
          <cell r="E2207">
            <v>109.1298828125</v>
          </cell>
          <cell r="F2207">
            <v>157.3334045410156</v>
          </cell>
        </row>
        <row r="2208">
          <cell r="A2208">
            <v>45357</v>
          </cell>
          <cell r="B2208">
            <v>301.13128662109381</v>
          </cell>
          <cell r="C2208">
            <v>44.050502777099609</v>
          </cell>
          <cell r="D2208">
            <v>493.90676879882813</v>
          </cell>
          <cell r="E2208">
            <v>110.4381866455078</v>
          </cell>
          <cell r="F2208">
            <v>163.60920715332031</v>
          </cell>
        </row>
        <row r="2209">
          <cell r="A2209">
            <v>45358</v>
          </cell>
          <cell r="B2209">
            <v>299.79306030273438</v>
          </cell>
          <cell r="C2209">
            <v>45.673576354980469</v>
          </cell>
          <cell r="D2209">
            <v>509.93588256835938</v>
          </cell>
          <cell r="E2209">
            <v>112.671142578125</v>
          </cell>
          <cell r="F2209">
            <v>171.23956298828119</v>
          </cell>
        </row>
        <row r="2210">
          <cell r="A2210">
            <v>45359</v>
          </cell>
          <cell r="B2210">
            <v>302.62820434570313</v>
          </cell>
          <cell r="C2210">
            <v>43.545768737792969</v>
          </cell>
          <cell r="D2210">
            <v>503.723388671875</v>
          </cell>
          <cell r="E2210">
            <v>110.5857315063477</v>
          </cell>
          <cell r="F2210">
            <v>166.22090148925781</v>
          </cell>
        </row>
        <row r="2211">
          <cell r="A2211">
            <v>45362</v>
          </cell>
          <cell r="B2211">
            <v>303.34194946289063</v>
          </cell>
          <cell r="C2211">
            <v>44.396892547607422</v>
          </cell>
          <cell r="D2211">
            <v>481.46173095703119</v>
          </cell>
          <cell r="E2211">
            <v>112.267822265625</v>
          </cell>
          <cell r="F2211">
            <v>166.75685119628909</v>
          </cell>
        </row>
        <row r="2212">
          <cell r="A2212">
            <v>45363</v>
          </cell>
          <cell r="B2212">
            <v>303.95654296875</v>
          </cell>
          <cell r="C2212">
            <v>44.772972106933587</v>
          </cell>
          <cell r="D2212">
            <v>497.5506591796875</v>
          </cell>
          <cell r="E2212">
            <v>125.45904541015619</v>
          </cell>
          <cell r="F2212">
            <v>168.66688537597659</v>
          </cell>
        </row>
        <row r="2213">
          <cell r="A2213">
            <v>45364</v>
          </cell>
          <cell r="B2213">
            <v>302.42794799804688</v>
          </cell>
          <cell r="C2213">
            <v>42.783718109130859</v>
          </cell>
          <cell r="D2213">
            <v>493.38906860351563</v>
          </cell>
          <cell r="E2213">
            <v>123.4719924926758</v>
          </cell>
          <cell r="F2213">
            <v>164.9345397949219</v>
          </cell>
        </row>
        <row r="2214">
          <cell r="A2214">
            <v>45365</v>
          </cell>
          <cell r="B2214">
            <v>301.07797241210938</v>
          </cell>
          <cell r="C2214">
            <v>42.308673858642578</v>
          </cell>
          <cell r="D2214">
            <v>489.66549682617188</v>
          </cell>
          <cell r="E2214">
            <v>123.48183441162109</v>
          </cell>
          <cell r="F2214">
            <v>164.1549072265625</v>
          </cell>
        </row>
        <row r="2215">
          <cell r="A2215">
            <v>45366</v>
          </cell>
          <cell r="B2215">
            <v>292.1544189453125</v>
          </cell>
          <cell r="C2215">
            <v>42.199806213378913</v>
          </cell>
          <cell r="D2215">
            <v>481.96951293945313</v>
          </cell>
          <cell r="E2215">
            <v>123.4916687011719</v>
          </cell>
          <cell r="F2215">
            <v>162.93681335449219</v>
          </cell>
        </row>
        <row r="2216">
          <cell r="A2216">
            <v>45369</v>
          </cell>
          <cell r="B2216">
            <v>298.28878784179688</v>
          </cell>
          <cell r="C2216">
            <v>42.269088745117188</v>
          </cell>
          <cell r="D2216">
            <v>494.79281616210938</v>
          </cell>
          <cell r="E2216">
            <v>125.7148056030273</v>
          </cell>
          <cell r="F2216">
            <v>162.6639404296875</v>
          </cell>
        </row>
        <row r="2217">
          <cell r="A2217">
            <v>45370</v>
          </cell>
          <cell r="B2217">
            <v>299.22183227539063</v>
          </cell>
          <cell r="C2217">
            <v>41.615898132324219</v>
          </cell>
          <cell r="D2217">
            <v>494.05606079101563</v>
          </cell>
          <cell r="E2217">
            <v>127.0821228027344</v>
          </cell>
          <cell r="F2217">
            <v>159.9158630371094</v>
          </cell>
        </row>
        <row r="2218">
          <cell r="A2218">
            <v>45371</v>
          </cell>
          <cell r="B2218">
            <v>303.81756591796881</v>
          </cell>
          <cell r="C2218">
            <v>41.764350891113281</v>
          </cell>
          <cell r="D2218">
            <v>503.29522705078119</v>
          </cell>
          <cell r="E2218">
            <v>127.1312942504883</v>
          </cell>
          <cell r="F2218">
            <v>163.3948059082031</v>
          </cell>
        </row>
        <row r="2219">
          <cell r="A2219">
            <v>45372</v>
          </cell>
          <cell r="B2219">
            <v>306.11053466796881</v>
          </cell>
          <cell r="C2219">
            <v>41.982078552246087</v>
          </cell>
          <cell r="D2219">
            <v>505.525390625</v>
          </cell>
          <cell r="E2219">
            <v>126.90505218505859</v>
          </cell>
          <cell r="F2219">
            <v>166.49372863769531</v>
          </cell>
        </row>
        <row r="2220">
          <cell r="A2220">
            <v>45373</v>
          </cell>
          <cell r="B2220">
            <v>305.49508666992188</v>
          </cell>
          <cell r="C2220">
            <v>42.130531311035163</v>
          </cell>
          <cell r="D2220">
            <v>507.33737182617188</v>
          </cell>
          <cell r="E2220">
            <v>125.7049560546875</v>
          </cell>
          <cell r="F2220">
            <v>165.76287841796881</v>
          </cell>
        </row>
        <row r="2221">
          <cell r="A2221">
            <v>45376</v>
          </cell>
          <cell r="B2221">
            <v>303.79776000976563</v>
          </cell>
          <cell r="C2221">
            <v>41.398174285888672</v>
          </cell>
          <cell r="D2221">
            <v>500.80624389648438</v>
          </cell>
          <cell r="E2221">
            <v>124.0228576660156</v>
          </cell>
          <cell r="F2221">
            <v>163.24864196777341</v>
          </cell>
        </row>
        <row r="2222">
          <cell r="A2222">
            <v>45377</v>
          </cell>
          <cell r="B2222">
            <v>303.56942749023438</v>
          </cell>
          <cell r="C2222">
            <v>41.5565185546875</v>
          </cell>
          <cell r="D2222">
            <v>493.7076416015625</v>
          </cell>
          <cell r="E2222">
            <v>124.406494140625</v>
          </cell>
          <cell r="F2222">
            <v>162.81010437011719</v>
          </cell>
        </row>
        <row r="2223">
          <cell r="A2223">
            <v>45378</v>
          </cell>
          <cell r="B2223">
            <v>299.15234375</v>
          </cell>
          <cell r="C2223">
            <v>43.318145751953118</v>
          </cell>
          <cell r="D2223">
            <v>491.6865234375</v>
          </cell>
          <cell r="E2223">
            <v>123.22607421875</v>
          </cell>
          <cell r="F2223">
            <v>164.8175964355469</v>
          </cell>
        </row>
        <row r="2224">
          <cell r="A2224">
            <v>45379</v>
          </cell>
          <cell r="B2224">
            <v>298.95382690429688</v>
          </cell>
          <cell r="C2224">
            <v>43.714012145996087</v>
          </cell>
          <cell r="D2224">
            <v>483.4429931640625</v>
          </cell>
          <cell r="E2224">
            <v>123.56053161621089</v>
          </cell>
          <cell r="F2224">
            <v>164.9832458496094</v>
          </cell>
        </row>
        <row r="2225">
          <cell r="A2225">
            <v>45383</v>
          </cell>
          <cell r="B2225">
            <v>300.02584838867188</v>
          </cell>
          <cell r="C2225">
            <v>44.060401916503913</v>
          </cell>
          <cell r="D2225">
            <v>489.1876220703125</v>
          </cell>
          <cell r="E2225">
            <v>123.4326477050781</v>
          </cell>
          <cell r="F2225">
            <v>167.341552734375</v>
          </cell>
        </row>
        <row r="2226">
          <cell r="A2226">
            <v>45384</v>
          </cell>
          <cell r="B2226">
            <v>301.75299072265619</v>
          </cell>
          <cell r="C2226">
            <v>43.486385345458977</v>
          </cell>
          <cell r="D2226">
            <v>495.18112182617188</v>
          </cell>
          <cell r="E2226">
            <v>122.3112487792969</v>
          </cell>
          <cell r="F2226">
            <v>166.67887878417969</v>
          </cell>
        </row>
        <row r="2227">
          <cell r="A2227">
            <v>45385</v>
          </cell>
          <cell r="B2227">
            <v>302.48748779296881</v>
          </cell>
          <cell r="C2227">
            <v>39.913661956787109</v>
          </cell>
          <cell r="D2227">
            <v>504.5098876953125</v>
          </cell>
          <cell r="E2227">
            <v>124.18023681640619</v>
          </cell>
          <cell r="F2227">
            <v>169.47572326660159</v>
          </cell>
        </row>
        <row r="2228">
          <cell r="A2228">
            <v>45386</v>
          </cell>
          <cell r="B2228">
            <v>291.96588134765619</v>
          </cell>
          <cell r="C2228">
            <v>39.319850921630859</v>
          </cell>
          <cell r="D2228">
            <v>508.6715087890625</v>
          </cell>
          <cell r="E2228">
            <v>122.1636962890625</v>
          </cell>
          <cell r="F2228">
            <v>165.43153381347659</v>
          </cell>
        </row>
        <row r="2229">
          <cell r="A2229">
            <v>45387</v>
          </cell>
          <cell r="B2229">
            <v>299.67843627929688</v>
          </cell>
          <cell r="C2229">
            <v>38.310382843017578</v>
          </cell>
          <cell r="D2229">
            <v>525.01922607421875</v>
          </cell>
          <cell r="E2229">
            <v>122.8621063232422</v>
          </cell>
          <cell r="F2229">
            <v>167.1564025878906</v>
          </cell>
        </row>
        <row r="2230">
          <cell r="A2230">
            <v>45390</v>
          </cell>
          <cell r="B2230">
            <v>299.49978637695313</v>
          </cell>
          <cell r="C2230">
            <v>37.587917327880859</v>
          </cell>
          <cell r="D2230">
            <v>516.96484375</v>
          </cell>
          <cell r="E2230">
            <v>122.3210830688477</v>
          </cell>
          <cell r="F2230">
            <v>169.19309997558591</v>
          </cell>
        </row>
        <row r="2231">
          <cell r="A2231">
            <v>45391</v>
          </cell>
          <cell r="B2231">
            <v>300.13504028320313</v>
          </cell>
          <cell r="C2231">
            <v>37.934303283691413</v>
          </cell>
          <cell r="D2231">
            <v>514.625244140625</v>
          </cell>
          <cell r="E2231">
            <v>121.6105499267578</v>
          </cell>
          <cell r="F2231">
            <v>171.0933837890625</v>
          </cell>
        </row>
        <row r="2232">
          <cell r="A2232">
            <v>45392</v>
          </cell>
          <cell r="B2232">
            <v>297.40530395507813</v>
          </cell>
          <cell r="C2232">
            <v>36.815971374511719</v>
          </cell>
          <cell r="D2232">
            <v>517.54229736328125</v>
          </cell>
          <cell r="E2232">
            <v>120.15000152587891</v>
          </cell>
          <cell r="F2232">
            <v>166.50347900390619</v>
          </cell>
        </row>
        <row r="2233">
          <cell r="A2233">
            <v>45393</v>
          </cell>
          <cell r="B2233">
            <v>296.93878173828119</v>
          </cell>
          <cell r="C2233">
            <v>37.241531372070313</v>
          </cell>
          <cell r="D2233">
            <v>520.85760498046875</v>
          </cell>
          <cell r="E2233">
            <v>121.6204147338867</v>
          </cell>
          <cell r="F2233">
            <v>170.66459655761719</v>
          </cell>
        </row>
        <row r="2234">
          <cell r="A2234">
            <v>45394</v>
          </cell>
          <cell r="B2234">
            <v>292.14453125</v>
          </cell>
          <cell r="C2234">
            <v>35.321556091308587</v>
          </cell>
          <cell r="D2234">
            <v>509.64715576171881</v>
          </cell>
          <cell r="E2234">
            <v>119.51841735839839</v>
          </cell>
          <cell r="F2234">
            <v>166.92250061035159</v>
          </cell>
        </row>
        <row r="2235">
          <cell r="A2235">
            <v>45397</v>
          </cell>
          <cell r="B2235">
            <v>270.88284301757813</v>
          </cell>
          <cell r="C2235">
            <v>35.935157775878913</v>
          </cell>
          <cell r="D2235">
            <v>498.028564453125</v>
          </cell>
          <cell r="E2235">
            <v>118.304573059082</v>
          </cell>
          <cell r="F2235">
            <v>165.5094909667969</v>
          </cell>
        </row>
        <row r="2236">
          <cell r="A2236">
            <v>45398</v>
          </cell>
          <cell r="B2236">
            <v>275.35952758789063</v>
          </cell>
          <cell r="C2236">
            <v>35.885669708251953</v>
          </cell>
          <cell r="D2236">
            <v>497.56060791015619</v>
          </cell>
          <cell r="E2236">
            <v>119.0348434448242</v>
          </cell>
          <cell r="F2236">
            <v>164.2816162109375</v>
          </cell>
        </row>
        <row r="2237">
          <cell r="A2237">
            <v>45399</v>
          </cell>
          <cell r="B2237">
            <v>274.27761840820313</v>
          </cell>
          <cell r="C2237">
            <v>35.311660766601563</v>
          </cell>
          <cell r="D2237">
            <v>491.99520874023438</v>
          </cell>
          <cell r="E2237">
            <v>117.1104736328125</v>
          </cell>
          <cell r="F2237">
            <v>160.1302490234375</v>
          </cell>
        </row>
        <row r="2238">
          <cell r="A2238">
            <v>45400</v>
          </cell>
          <cell r="B2238">
            <v>269.91012573242188</v>
          </cell>
          <cell r="C2238">
            <v>34.678268432617188</v>
          </cell>
          <cell r="D2238">
            <v>499.59158325195313</v>
          </cell>
          <cell r="E2238">
            <v>114.47556304931641</v>
          </cell>
          <cell r="F2238">
            <v>157.32366943359381</v>
          </cell>
        </row>
        <row r="2239">
          <cell r="A2239">
            <v>45401</v>
          </cell>
          <cell r="B2239">
            <v>268.37155151367188</v>
          </cell>
          <cell r="C2239">
            <v>33.846939086914063</v>
          </cell>
          <cell r="D2239">
            <v>478.952880859375</v>
          </cell>
          <cell r="E2239">
            <v>113.3702774047852</v>
          </cell>
          <cell r="F2239">
            <v>153.61083984375</v>
          </cell>
        </row>
        <row r="2240">
          <cell r="A2240">
            <v>45404</v>
          </cell>
          <cell r="B2240">
            <v>271.78610229492188</v>
          </cell>
          <cell r="C2240">
            <v>34.054771423339837</v>
          </cell>
          <cell r="D2240">
            <v>479.60995483398438</v>
          </cell>
          <cell r="E2240">
            <v>113.02487945556641</v>
          </cell>
          <cell r="F2240">
            <v>156.0957946777344</v>
          </cell>
        </row>
        <row r="2241">
          <cell r="A2241">
            <v>45405</v>
          </cell>
          <cell r="B2241">
            <v>274.6348876953125</v>
          </cell>
          <cell r="C2241">
            <v>33.926113128662109</v>
          </cell>
          <cell r="D2241">
            <v>493.916748046875</v>
          </cell>
          <cell r="E2241">
            <v>113.577522277832</v>
          </cell>
          <cell r="F2241">
            <v>157.23597717285159</v>
          </cell>
        </row>
        <row r="2242">
          <cell r="A2242">
            <v>45406</v>
          </cell>
          <cell r="B2242">
            <v>274.14852905273438</v>
          </cell>
          <cell r="C2242">
            <v>34.143840789794922</v>
          </cell>
          <cell r="D2242">
            <v>491.32815551757813</v>
          </cell>
          <cell r="E2242">
            <v>113.82423400878911</v>
          </cell>
          <cell r="F2242">
            <v>159.45783996582031</v>
          </cell>
        </row>
        <row r="2243">
          <cell r="A2243">
            <v>45407</v>
          </cell>
          <cell r="B2243">
            <v>271.12106323242188</v>
          </cell>
          <cell r="C2243">
            <v>34.747543334960938</v>
          </cell>
          <cell r="D2243">
            <v>439.4375</v>
          </cell>
          <cell r="E2243">
            <v>113.38014221191411</v>
          </cell>
          <cell r="F2243">
            <v>159.13624572753909</v>
          </cell>
        </row>
        <row r="2244">
          <cell r="A2244">
            <v>45408</v>
          </cell>
          <cell r="B2244">
            <v>272.26260375976563</v>
          </cell>
          <cell r="C2244">
            <v>31.55088996887207</v>
          </cell>
          <cell r="D2244">
            <v>441.339111328125</v>
          </cell>
          <cell r="E2244">
            <v>115.66966247558589</v>
          </cell>
          <cell r="F2244">
            <v>161.4360656738281</v>
          </cell>
        </row>
        <row r="2245">
          <cell r="A2245">
            <v>45411</v>
          </cell>
          <cell r="B2245">
            <v>273.70184326171881</v>
          </cell>
          <cell r="C2245">
            <v>31.036258697509769</v>
          </cell>
          <cell r="D2245">
            <v>430.716064453125</v>
          </cell>
          <cell r="E2245">
            <v>114.95912170410161</v>
          </cell>
          <cell r="F2245">
            <v>164.88580322265619</v>
          </cell>
        </row>
        <row r="2246">
          <cell r="A2246">
            <v>45412</v>
          </cell>
          <cell r="B2246">
            <v>266.9521484375</v>
          </cell>
          <cell r="C2246">
            <v>30.15544509887695</v>
          </cell>
          <cell r="D2246">
            <v>428.27688598632813</v>
          </cell>
          <cell r="E2246">
            <v>112.2551345825195</v>
          </cell>
          <cell r="F2246">
            <v>161.6212463378906</v>
          </cell>
        </row>
        <row r="2247">
          <cell r="A2247">
            <v>45413</v>
          </cell>
          <cell r="B2247">
            <v>266.7039794921875</v>
          </cell>
          <cell r="C2247">
            <v>30.056478500366211</v>
          </cell>
          <cell r="D2247">
            <v>437.25717163085938</v>
          </cell>
          <cell r="E2247">
            <v>113.1235656738281</v>
          </cell>
          <cell r="F2247">
            <v>159.92559814453119</v>
          </cell>
        </row>
        <row r="2248">
          <cell r="A2248">
            <v>45414</v>
          </cell>
          <cell r="B2248">
            <v>270.11856079101563</v>
          </cell>
          <cell r="C2248">
            <v>30.19503211975098</v>
          </cell>
          <cell r="D2248">
            <v>439.7362060546875</v>
          </cell>
          <cell r="E2248">
            <v>113.4492263793945</v>
          </cell>
          <cell r="F2248">
            <v>175.50788879394531</v>
          </cell>
        </row>
        <row r="2249">
          <cell r="A2249">
            <v>45415</v>
          </cell>
          <cell r="B2249">
            <v>271.63723754882813</v>
          </cell>
          <cell r="C2249">
            <v>30.58100509643555</v>
          </cell>
          <cell r="D2249">
            <v>449.97097778320313</v>
          </cell>
          <cell r="E2249">
            <v>114.27818298339839</v>
          </cell>
          <cell r="F2249">
            <v>175.05963134765619</v>
          </cell>
        </row>
        <row r="2250">
          <cell r="A2250">
            <v>45418</v>
          </cell>
          <cell r="B2250">
            <v>273.5926513671875</v>
          </cell>
          <cell r="C2250">
            <v>30.774776458740231</v>
          </cell>
          <cell r="D2250">
            <v>463.63058471679688</v>
          </cell>
          <cell r="E2250">
            <v>116.78481292724609</v>
          </cell>
          <cell r="F2250">
            <v>177.21327209472659</v>
          </cell>
        </row>
        <row r="2251">
          <cell r="A2251">
            <v>45419</v>
          </cell>
          <cell r="B2251">
            <v>275.13119506835938</v>
          </cell>
          <cell r="C2251">
            <v>30.486604690551761</v>
          </cell>
          <cell r="D2251">
            <v>466.17929077148438</v>
          </cell>
          <cell r="E2251">
            <v>116.3802032470703</v>
          </cell>
          <cell r="F2251">
            <v>175.5566101074219</v>
          </cell>
        </row>
        <row r="2252">
          <cell r="A2252">
            <v>45420</v>
          </cell>
          <cell r="B2252">
            <v>276.90802001953119</v>
          </cell>
          <cell r="C2252">
            <v>29.810892105102539</v>
          </cell>
          <cell r="D2252">
            <v>470.5201416015625</v>
          </cell>
          <cell r="E2252">
            <v>115.8472900390625</v>
          </cell>
          <cell r="F2252">
            <v>175.9464111328125</v>
          </cell>
        </row>
        <row r="2253">
          <cell r="A2253">
            <v>45421</v>
          </cell>
          <cell r="B2253">
            <v>273.1361083984375</v>
          </cell>
          <cell r="C2253">
            <v>29.900323867797852</v>
          </cell>
          <cell r="D2253">
            <v>473.3277587890625</v>
          </cell>
          <cell r="E2253">
            <v>115.1071472167969</v>
          </cell>
          <cell r="F2253">
            <v>175.9366455078125</v>
          </cell>
        </row>
        <row r="2254">
          <cell r="A2254">
            <v>45422</v>
          </cell>
          <cell r="B2254">
            <v>274.62503051757813</v>
          </cell>
          <cell r="C2254">
            <v>29.661838531494141</v>
          </cell>
          <cell r="D2254">
            <v>474.10427856445313</v>
          </cell>
          <cell r="E2254">
            <v>115.1367492675781</v>
          </cell>
          <cell r="F2254">
            <v>177.43739318847659</v>
          </cell>
        </row>
        <row r="2255">
          <cell r="A2255">
            <v>45425</v>
          </cell>
          <cell r="B2255">
            <v>275.46871948242188</v>
          </cell>
          <cell r="C2255">
            <v>30.31767654418945</v>
          </cell>
          <cell r="D2255">
            <v>465.95034790039063</v>
          </cell>
          <cell r="E2255">
            <v>114.8406982421875</v>
          </cell>
          <cell r="F2255">
            <v>179.5130920410156</v>
          </cell>
        </row>
        <row r="2256">
          <cell r="A2256">
            <v>45426</v>
          </cell>
          <cell r="B2256">
            <v>274.7540283203125</v>
          </cell>
          <cell r="C2256">
            <v>30.85427284240723</v>
          </cell>
          <cell r="D2256">
            <v>469.7734375</v>
          </cell>
          <cell r="E2256">
            <v>119.2815704345703</v>
          </cell>
          <cell r="F2256">
            <v>184.1517028808594</v>
          </cell>
        </row>
        <row r="2257">
          <cell r="A2257">
            <v>45427</v>
          </cell>
          <cell r="B2257">
            <v>285.41464233398438</v>
          </cell>
          <cell r="C2257">
            <v>31.0728874206543</v>
          </cell>
          <cell r="D2257">
            <v>479.4207763671875</v>
          </cell>
          <cell r="E2257">
            <v>120.0315780639648</v>
          </cell>
          <cell r="F2257">
            <v>189.64790344238281</v>
          </cell>
        </row>
        <row r="2258">
          <cell r="A2258">
            <v>45428</v>
          </cell>
          <cell r="B2258">
            <v>282.57574462890619</v>
          </cell>
          <cell r="C2258">
            <v>31.828094482421879</v>
          </cell>
          <cell r="D2258">
            <v>471.14739990234381</v>
          </cell>
          <cell r="E2258">
            <v>120.5546035766602</v>
          </cell>
          <cell r="F2258">
            <v>188.34208679199219</v>
          </cell>
        </row>
        <row r="2259">
          <cell r="A2259">
            <v>45429</v>
          </cell>
          <cell r="B2259">
            <v>283.49893188476563</v>
          </cell>
          <cell r="C2259">
            <v>31.62935638427734</v>
          </cell>
          <cell r="D2259">
            <v>469.8331298828125</v>
          </cell>
          <cell r="E2259">
            <v>121.8770065307617</v>
          </cell>
          <cell r="F2259">
            <v>188.91703796386719</v>
          </cell>
        </row>
        <row r="2260">
          <cell r="A2260">
            <v>45432</v>
          </cell>
          <cell r="B2260">
            <v>284.94815063476563</v>
          </cell>
          <cell r="C2260">
            <v>31.897653579711911</v>
          </cell>
          <cell r="D2260">
            <v>466.77667236328119</v>
          </cell>
          <cell r="E2260">
            <v>122.8835830688477</v>
          </cell>
          <cell r="F2260">
            <v>192.71759033203119</v>
          </cell>
        </row>
        <row r="2261">
          <cell r="A2261">
            <v>45433</v>
          </cell>
          <cell r="B2261">
            <v>281.66262817382813</v>
          </cell>
          <cell r="C2261">
            <v>31.539922714233398</v>
          </cell>
          <cell r="D2261">
            <v>462.58517456054688</v>
          </cell>
          <cell r="E2261">
            <v>122.9921417236328</v>
          </cell>
          <cell r="F2261">
            <v>195.72882080078119</v>
          </cell>
        </row>
        <row r="2262">
          <cell r="A2262">
            <v>45434</v>
          </cell>
          <cell r="B2262">
            <v>281.72216796875</v>
          </cell>
          <cell r="C2262">
            <v>31.221940994262699</v>
          </cell>
          <cell r="D2262">
            <v>465.7213134765625</v>
          </cell>
          <cell r="E2262">
            <v>122.96253967285161</v>
          </cell>
          <cell r="F2262">
            <v>197.75578308105469</v>
          </cell>
        </row>
        <row r="2263">
          <cell r="A2263">
            <v>45435</v>
          </cell>
          <cell r="B2263">
            <v>276.51095581054688</v>
          </cell>
          <cell r="C2263">
            <v>29.890386581420898</v>
          </cell>
          <cell r="D2263">
            <v>463.73013305664063</v>
          </cell>
          <cell r="E2263">
            <v>122.45925140380859</v>
          </cell>
          <cell r="F2263">
            <v>196.6156005859375</v>
          </cell>
        </row>
        <row r="2264">
          <cell r="A2264">
            <v>45436</v>
          </cell>
          <cell r="B2264">
            <v>270.27737426757813</v>
          </cell>
          <cell r="C2264">
            <v>30.526351928710941</v>
          </cell>
          <cell r="D2264">
            <v>476.11541748046881</v>
          </cell>
          <cell r="E2264">
            <v>121.2947540283203</v>
          </cell>
          <cell r="F2264">
            <v>204.996337890625</v>
          </cell>
        </row>
        <row r="2265">
          <cell r="A2265">
            <v>45440</v>
          </cell>
          <cell r="B2265">
            <v>267.83551025390619</v>
          </cell>
          <cell r="C2265">
            <v>30.86421012878418</v>
          </cell>
          <cell r="D2265">
            <v>477.80792236328119</v>
          </cell>
          <cell r="E2265">
            <v>122.85398864746089</v>
          </cell>
          <cell r="F2265">
            <v>207.64698791503909</v>
          </cell>
        </row>
        <row r="2266">
          <cell r="A2266">
            <v>45441</v>
          </cell>
          <cell r="B2266">
            <v>269.6123046875</v>
          </cell>
          <cell r="C2266">
            <v>29.940071105957031</v>
          </cell>
          <cell r="D2266">
            <v>472.27236938476563</v>
          </cell>
          <cell r="E2266">
            <v>122.1138458251953</v>
          </cell>
          <cell r="F2266">
            <v>202.94987487792969</v>
          </cell>
        </row>
        <row r="2267">
          <cell r="A2267">
            <v>45442</v>
          </cell>
          <cell r="B2267">
            <v>216.39857482910159</v>
          </cell>
          <cell r="C2267">
            <v>29.99969482421875</v>
          </cell>
          <cell r="D2267">
            <v>464.99456787109381</v>
          </cell>
          <cell r="E2267">
            <v>115.5512313842773</v>
          </cell>
          <cell r="F2267">
            <v>200.39599609375</v>
          </cell>
        </row>
        <row r="2268">
          <cell r="A2268">
            <v>45443</v>
          </cell>
          <cell r="B2268">
            <v>232.70713806152341</v>
          </cell>
          <cell r="C2268">
            <v>30.655534744262699</v>
          </cell>
          <cell r="D2268">
            <v>464.7755126953125</v>
          </cell>
          <cell r="E2268">
            <v>115.64991760253911</v>
          </cell>
          <cell r="F2268">
            <v>199.662109375</v>
          </cell>
        </row>
        <row r="2269">
          <cell r="A2269">
            <v>45446</v>
          </cell>
          <cell r="B2269">
            <v>234.87101745605469</v>
          </cell>
          <cell r="C2269">
            <v>30.099063873291019</v>
          </cell>
          <cell r="D2269">
            <v>475.38858032226563</v>
          </cell>
          <cell r="E2269">
            <v>117.71246337890619</v>
          </cell>
          <cell r="F2269">
            <v>201.48211669921881</v>
          </cell>
        </row>
        <row r="2270">
          <cell r="A2270">
            <v>45447</v>
          </cell>
          <cell r="B2270">
            <v>233.1240234375</v>
          </cell>
          <cell r="C2270">
            <v>29.840703964233398</v>
          </cell>
          <cell r="D2270">
            <v>474.89077758789063</v>
          </cell>
          <cell r="E2270">
            <v>118.4920654296875</v>
          </cell>
          <cell r="F2270">
            <v>199.97523498535159</v>
          </cell>
        </row>
        <row r="2271">
          <cell r="A2271">
            <v>45448</v>
          </cell>
          <cell r="B2271">
            <v>234.78167724609381</v>
          </cell>
          <cell r="C2271">
            <v>30.58597564697266</v>
          </cell>
          <cell r="D2271">
            <v>492.88125610351563</v>
          </cell>
          <cell r="E2271">
            <v>121.0184326171875</v>
          </cell>
          <cell r="F2271">
            <v>207.34330749511719</v>
          </cell>
        </row>
        <row r="2272">
          <cell r="A2272">
            <v>45449</v>
          </cell>
          <cell r="B2272">
            <v>240.96563720703119</v>
          </cell>
          <cell r="C2272">
            <v>30.228244781494141</v>
          </cell>
          <cell r="D2272">
            <v>491.5870361328125</v>
          </cell>
          <cell r="E2272">
            <v>121.8770065307617</v>
          </cell>
          <cell r="F2272">
            <v>204.93620300292969</v>
          </cell>
        </row>
        <row r="2273">
          <cell r="A2273">
            <v>45450</v>
          </cell>
          <cell r="B2273">
            <v>240.0623779296875</v>
          </cell>
          <cell r="C2273">
            <v>30.54622650146484</v>
          </cell>
          <cell r="D2273">
            <v>490.79055786132813</v>
          </cell>
          <cell r="E2273">
            <v>124.26519775390619</v>
          </cell>
          <cell r="F2273">
            <v>202.17686462402341</v>
          </cell>
        </row>
        <row r="2274">
          <cell r="A2274">
            <v>45453</v>
          </cell>
          <cell r="B2274">
            <v>240.05244445800781</v>
          </cell>
          <cell r="C2274">
            <v>30.715154647827148</v>
          </cell>
          <cell r="D2274">
            <v>500.38809204101563</v>
          </cell>
          <cell r="E2274">
            <v>122.8638534545898</v>
          </cell>
          <cell r="F2274">
            <v>204.84814453125</v>
          </cell>
        </row>
        <row r="2275">
          <cell r="A2275">
            <v>45454</v>
          </cell>
          <cell r="B2275">
            <v>239.2087097167969</v>
          </cell>
          <cell r="C2275">
            <v>30.725091934204102</v>
          </cell>
          <cell r="D2275">
            <v>505.23666381835938</v>
          </cell>
          <cell r="E2275">
            <v>122.2519989013672</v>
          </cell>
          <cell r="F2275">
            <v>204.0360107421875</v>
          </cell>
        </row>
        <row r="2276">
          <cell r="A2276">
            <v>45455</v>
          </cell>
          <cell r="B2276">
            <v>234.05706787109381</v>
          </cell>
          <cell r="C2276">
            <v>30.56610107421875</v>
          </cell>
          <cell r="D2276">
            <v>506.60064697265619</v>
          </cell>
          <cell r="E2276">
            <v>138.53517150878909</v>
          </cell>
          <cell r="F2276">
            <v>210.7582702636719</v>
          </cell>
        </row>
        <row r="2277">
          <cell r="A2277">
            <v>45456</v>
          </cell>
          <cell r="B2277">
            <v>227.3371276855469</v>
          </cell>
          <cell r="C2277">
            <v>30.26799201965332</v>
          </cell>
          <cell r="D2277">
            <v>501.88150024414063</v>
          </cell>
          <cell r="E2277">
            <v>138.01213073730469</v>
          </cell>
          <cell r="F2277">
            <v>213.126220703125</v>
          </cell>
        </row>
        <row r="2278">
          <cell r="A2278">
            <v>45457</v>
          </cell>
          <cell r="B2278">
            <v>230.22563171386719</v>
          </cell>
          <cell r="C2278">
            <v>30.258056640625</v>
          </cell>
          <cell r="D2278">
            <v>502.43963623046881</v>
          </cell>
          <cell r="E2278">
            <v>136.3147277832031</v>
          </cell>
          <cell r="F2278">
            <v>210.69953918457031</v>
          </cell>
        </row>
        <row r="2279">
          <cell r="A2279">
            <v>45460</v>
          </cell>
          <cell r="B2279">
            <v>228.77641296386719</v>
          </cell>
          <cell r="C2279">
            <v>30.784713745117191</v>
          </cell>
          <cell r="D2279">
            <v>504.90118408203119</v>
          </cell>
          <cell r="E2279">
            <v>139.45294189453119</v>
          </cell>
          <cell r="F2279">
            <v>217.44139099121091</v>
          </cell>
        </row>
        <row r="2280">
          <cell r="A2280">
            <v>45461</v>
          </cell>
          <cell r="B2280">
            <v>230.09657287597659</v>
          </cell>
          <cell r="C2280">
            <v>30.436920166015621</v>
          </cell>
          <cell r="D2280">
            <v>497.7855224609375</v>
          </cell>
          <cell r="E2280">
            <v>142.73918151855469</v>
          </cell>
          <cell r="F2280">
            <v>222.2066650390625</v>
          </cell>
        </row>
        <row r="2281">
          <cell r="A2281">
            <v>45463</v>
          </cell>
          <cell r="B2281">
            <v>240.01274108886719</v>
          </cell>
          <cell r="C2281">
            <v>30.426984786987301</v>
          </cell>
          <cell r="D2281">
            <v>499.98797607421881</v>
          </cell>
          <cell r="E2281">
            <v>141.03192138671881</v>
          </cell>
          <cell r="F2281">
            <v>210.8365478515625</v>
          </cell>
        </row>
        <row r="2282">
          <cell r="A2282">
            <v>45464</v>
          </cell>
          <cell r="B2282">
            <v>243.2486267089844</v>
          </cell>
          <cell r="C2282">
            <v>30.89402008056641</v>
          </cell>
          <cell r="D2282">
            <v>493.09161376953119</v>
          </cell>
          <cell r="E2282">
            <v>139.64045715332031</v>
          </cell>
          <cell r="F2282">
            <v>207.95977783203119</v>
          </cell>
        </row>
        <row r="2283">
          <cell r="A2283">
            <v>45467</v>
          </cell>
          <cell r="B2283">
            <v>238.16648864746091</v>
          </cell>
          <cell r="C2283">
            <v>30.377298355102539</v>
          </cell>
          <cell r="D2283">
            <v>497.20751953125</v>
          </cell>
          <cell r="E2283">
            <v>138.0516052246094</v>
          </cell>
          <cell r="F2283">
            <v>196.52113342285159</v>
          </cell>
        </row>
        <row r="2284">
          <cell r="A2284">
            <v>45468</v>
          </cell>
          <cell r="B2284">
            <v>239.9730224609375</v>
          </cell>
          <cell r="C2284">
            <v>30.54622650146484</v>
          </cell>
          <cell r="D2284">
            <v>508.85760498046881</v>
          </cell>
          <cell r="E2284">
            <v>137.341064453125</v>
          </cell>
          <cell r="F2284">
            <v>197.8225402832031</v>
          </cell>
        </row>
        <row r="2285">
          <cell r="A2285">
            <v>45469</v>
          </cell>
          <cell r="B2285">
            <v>241.35276794433591</v>
          </cell>
          <cell r="C2285">
            <v>30.347488403320309</v>
          </cell>
          <cell r="D2285">
            <v>511.36898803710938</v>
          </cell>
          <cell r="E2285">
            <v>136.4134216308594</v>
          </cell>
          <cell r="F2285">
            <v>193.08662414550781</v>
          </cell>
        </row>
        <row r="2286">
          <cell r="A2286">
            <v>45470</v>
          </cell>
          <cell r="B2286">
            <v>250.98106384277341</v>
          </cell>
          <cell r="C2286">
            <v>30.397172927856449</v>
          </cell>
          <cell r="D2286">
            <v>517.78704833984375</v>
          </cell>
          <cell r="E2286">
            <v>138.3377990722656</v>
          </cell>
          <cell r="F2286">
            <v>190.95350646972659</v>
          </cell>
        </row>
        <row r="2287">
          <cell r="A2287">
            <v>45471</v>
          </cell>
          <cell r="B2287">
            <v>255.19964599609381</v>
          </cell>
          <cell r="C2287">
            <v>30.774776458740231</v>
          </cell>
          <cell r="D2287">
            <v>502.49942016601563</v>
          </cell>
          <cell r="E2287">
            <v>139.34437561035159</v>
          </cell>
          <cell r="F2287">
            <v>194.89683532714841</v>
          </cell>
        </row>
        <row r="2288">
          <cell r="A2288">
            <v>45474</v>
          </cell>
          <cell r="B2288">
            <v>254.3161926269531</v>
          </cell>
          <cell r="C2288">
            <v>30.645597457885739</v>
          </cell>
          <cell r="D2288">
            <v>502.95779418945313</v>
          </cell>
          <cell r="E2288">
            <v>141.2095642089844</v>
          </cell>
          <cell r="F2288">
            <v>195.72856140136719</v>
          </cell>
        </row>
        <row r="2289">
          <cell r="A2289">
            <v>45475</v>
          </cell>
          <cell r="B2289">
            <v>254.2963562011719</v>
          </cell>
          <cell r="C2289">
            <v>30.874147415161129</v>
          </cell>
          <cell r="D2289">
            <v>507.7613525390625</v>
          </cell>
          <cell r="E2289">
            <v>141.3970642089844</v>
          </cell>
          <cell r="F2289">
            <v>195.85578918457031</v>
          </cell>
        </row>
        <row r="2290">
          <cell r="A2290">
            <v>45476</v>
          </cell>
          <cell r="B2290">
            <v>259.02120971679688</v>
          </cell>
          <cell r="C2290">
            <v>31.033138275146481</v>
          </cell>
          <cell r="D2290">
            <v>508.21978759765619</v>
          </cell>
          <cell r="E2290">
            <v>142.48260498046881</v>
          </cell>
          <cell r="F2290">
            <v>199.4272766113281</v>
          </cell>
        </row>
        <row r="2291">
          <cell r="A2291">
            <v>45478</v>
          </cell>
          <cell r="B2291">
            <v>261.24465942382813</v>
          </cell>
          <cell r="C2291">
            <v>31.818159103393551</v>
          </cell>
          <cell r="D2291">
            <v>538.06756591796875</v>
          </cell>
          <cell r="E2291">
            <v>142.92669677734381</v>
          </cell>
          <cell r="F2291">
            <v>201.32557678222659</v>
          </cell>
        </row>
        <row r="2292">
          <cell r="A2292">
            <v>45481</v>
          </cell>
          <cell r="B2292">
            <v>255.46763610839841</v>
          </cell>
          <cell r="C2292">
            <v>33.775741577148438</v>
          </cell>
          <cell r="D2292">
            <v>527.51373291015625</v>
          </cell>
          <cell r="E2292">
            <v>143.1240539550781</v>
          </cell>
          <cell r="F2292">
            <v>203.4195556640625</v>
          </cell>
        </row>
        <row r="2293">
          <cell r="A2293">
            <v>45482</v>
          </cell>
          <cell r="B2293">
            <v>250.9541931152344</v>
          </cell>
          <cell r="C2293">
            <v>34.371959686279297</v>
          </cell>
          <cell r="D2293">
            <v>528.19140625</v>
          </cell>
          <cell r="E2293">
            <v>138.8312072753906</v>
          </cell>
          <cell r="F2293">
            <v>202.66609191894531</v>
          </cell>
        </row>
        <row r="2294">
          <cell r="A2294">
            <v>45483</v>
          </cell>
          <cell r="B2294">
            <v>251.1132507324219</v>
          </cell>
          <cell r="C2294">
            <v>34.650192260742188</v>
          </cell>
          <cell r="D2294">
            <v>532.86541748046875</v>
          </cell>
          <cell r="E2294">
            <v>140.2029724121094</v>
          </cell>
          <cell r="F2294">
            <v>204.30999755859381</v>
          </cell>
        </row>
        <row r="2295">
          <cell r="A2295">
            <v>45484</v>
          </cell>
          <cell r="B2295">
            <v>249.65184020996091</v>
          </cell>
          <cell r="C2295">
            <v>33.288829803466797</v>
          </cell>
          <cell r="D2295">
            <v>510.95050048828119</v>
          </cell>
          <cell r="E2295">
            <v>141.28167724609381</v>
          </cell>
          <cell r="F2295">
            <v>195.55244445800781</v>
          </cell>
        </row>
        <row r="2296">
          <cell r="A2296">
            <v>45485</v>
          </cell>
          <cell r="B2296">
            <v>252.48518371582031</v>
          </cell>
          <cell r="C2296">
            <v>34.272590637207031</v>
          </cell>
          <cell r="D2296">
            <v>497.16766357421881</v>
          </cell>
          <cell r="E2296">
            <v>143.27085876464841</v>
          </cell>
          <cell r="F2296">
            <v>198.07695007324219</v>
          </cell>
        </row>
        <row r="2297">
          <cell r="A2297">
            <v>45488</v>
          </cell>
          <cell r="B2297">
            <v>251.3816833496094</v>
          </cell>
          <cell r="C2297">
            <v>34.242774963378913</v>
          </cell>
          <cell r="D2297">
            <v>494.46688842773438</v>
          </cell>
          <cell r="E2297">
            <v>141.58845520019531</v>
          </cell>
          <cell r="F2297">
            <v>203.70330810546881</v>
          </cell>
        </row>
        <row r="2298">
          <cell r="A2298">
            <v>45489</v>
          </cell>
          <cell r="B2298">
            <v>254.53315734863281</v>
          </cell>
          <cell r="C2298">
            <v>34.12353515625</v>
          </cell>
          <cell r="D2298">
            <v>488.11865234375</v>
          </cell>
          <cell r="E2298">
            <v>141.13322448730469</v>
          </cell>
          <cell r="F2298">
            <v>205.13191223144531</v>
          </cell>
        </row>
        <row r="2299">
          <cell r="A2299">
            <v>45490</v>
          </cell>
          <cell r="B2299">
            <v>249.75128173828119</v>
          </cell>
          <cell r="C2299">
            <v>34.242774963378913</v>
          </cell>
          <cell r="D2299">
            <v>460.41348266601563</v>
          </cell>
          <cell r="E2299">
            <v>137.8179016113281</v>
          </cell>
          <cell r="F2299">
            <v>187.47984313964841</v>
          </cell>
        </row>
        <row r="2300">
          <cell r="A2300">
            <v>45491</v>
          </cell>
          <cell r="B2300">
            <v>245.90388488769531</v>
          </cell>
          <cell r="C2300">
            <v>34.650192260742188</v>
          </cell>
          <cell r="D2300">
            <v>474.22625732421881</v>
          </cell>
          <cell r="E2300">
            <v>136.60064697265619</v>
          </cell>
          <cell r="F2300">
            <v>187.3428649902344</v>
          </cell>
        </row>
        <row r="2301">
          <cell r="A2301">
            <v>45492</v>
          </cell>
          <cell r="B2301">
            <v>246.18226623535159</v>
          </cell>
          <cell r="C2301">
            <v>32.772106170654297</v>
          </cell>
          <cell r="D2301">
            <v>475.16299438476563</v>
          </cell>
          <cell r="E2301">
            <v>137.1251525878906</v>
          </cell>
          <cell r="F2301">
            <v>182.20576477050781</v>
          </cell>
        </row>
        <row r="2302">
          <cell r="A2302">
            <v>45495</v>
          </cell>
          <cell r="B2302">
            <v>252.59454345703119</v>
          </cell>
          <cell r="C2302">
            <v>33.159648895263672</v>
          </cell>
          <cell r="D2302">
            <v>485.73678588867188</v>
          </cell>
          <cell r="E2302">
            <v>138.71849060058591</v>
          </cell>
          <cell r="F2302">
            <v>190.77738952636719</v>
          </cell>
        </row>
        <row r="2303">
          <cell r="A2303">
            <v>45496</v>
          </cell>
          <cell r="B2303">
            <v>254.56298828125</v>
          </cell>
          <cell r="C2303">
            <v>32.742298126220703</v>
          </cell>
          <cell r="D2303">
            <v>487.02239990234381</v>
          </cell>
          <cell r="E2303">
            <v>141.62803649902341</v>
          </cell>
          <cell r="F2303">
            <v>189.19221496582031</v>
          </cell>
        </row>
        <row r="2304">
          <cell r="A2304">
            <v>45497</v>
          </cell>
          <cell r="B2304">
            <v>248.3197021484375</v>
          </cell>
          <cell r="C2304">
            <v>31.500175476074219</v>
          </cell>
          <cell r="D2304">
            <v>459.69595336914063</v>
          </cell>
          <cell r="E2304">
            <v>137.33299255371091</v>
          </cell>
          <cell r="F2304">
            <v>177.17628479003909</v>
          </cell>
        </row>
        <row r="2305">
          <cell r="A2305">
            <v>45498</v>
          </cell>
          <cell r="B2305">
            <v>255.02027893066409</v>
          </cell>
          <cell r="C2305">
            <v>30.903957366943359</v>
          </cell>
          <cell r="D2305">
            <v>451.86279296875</v>
          </cell>
          <cell r="E2305">
            <v>136.392822265625</v>
          </cell>
          <cell r="F2305">
            <v>171.61842346191409</v>
          </cell>
        </row>
        <row r="2306">
          <cell r="A2306">
            <v>45499</v>
          </cell>
          <cell r="B2306">
            <v>261.174072265625</v>
          </cell>
          <cell r="C2306">
            <v>31.15238189697266</v>
          </cell>
          <cell r="D2306">
            <v>464.11083984375</v>
          </cell>
          <cell r="E2306">
            <v>137.57048034667969</v>
          </cell>
          <cell r="F2306">
            <v>176.17822265625</v>
          </cell>
        </row>
        <row r="2307">
          <cell r="A2307">
            <v>45502</v>
          </cell>
          <cell r="B2307">
            <v>257.07818603515619</v>
          </cell>
          <cell r="C2307">
            <v>30.635660171508789</v>
          </cell>
          <cell r="D2307">
            <v>464.12078857421881</v>
          </cell>
          <cell r="E2307">
            <v>136.87774658203119</v>
          </cell>
          <cell r="F2307">
            <v>174.79853820800781</v>
          </cell>
        </row>
        <row r="2308">
          <cell r="A2308">
            <v>45503</v>
          </cell>
          <cell r="B2308">
            <v>256.42202758789063</v>
          </cell>
          <cell r="C2308">
            <v>29.940071105957031</v>
          </cell>
          <cell r="D2308">
            <v>461.60940551757813</v>
          </cell>
          <cell r="E2308">
            <v>134.26507568359381</v>
          </cell>
          <cell r="F2308">
            <v>163.3501281738281</v>
          </cell>
        </row>
        <row r="2309">
          <cell r="A2309">
            <v>45504</v>
          </cell>
          <cell r="B2309">
            <v>257.28692626953119</v>
          </cell>
          <cell r="C2309">
            <v>30.54622650146484</v>
          </cell>
          <cell r="D2309">
            <v>473.20962524414063</v>
          </cell>
          <cell r="E2309">
            <v>138.00592041015619</v>
          </cell>
          <cell r="F2309">
            <v>177.05885314941409</v>
          </cell>
        </row>
        <row r="2310">
          <cell r="A2310">
            <v>45505</v>
          </cell>
          <cell r="B2310">
            <v>251.58050537109381</v>
          </cell>
          <cell r="C2310">
            <v>28.866878509521481</v>
          </cell>
          <cell r="D2310">
            <v>496.04147338867188</v>
          </cell>
          <cell r="E2310">
            <v>136.0860290527344</v>
          </cell>
          <cell r="F2310">
            <v>160.4733581542969</v>
          </cell>
        </row>
        <row r="2311">
          <cell r="A2311">
            <v>45506</v>
          </cell>
          <cell r="B2311">
            <v>242.54365539550781</v>
          </cell>
          <cell r="C2311">
            <v>21.344598770141602</v>
          </cell>
          <cell r="D2311">
            <v>486.47430419921881</v>
          </cell>
          <cell r="E2311">
            <v>131.89984130859381</v>
          </cell>
          <cell r="F2311">
            <v>155.88420104980469</v>
          </cell>
        </row>
        <row r="2312">
          <cell r="A2312">
            <v>45509</v>
          </cell>
          <cell r="B2312">
            <v>237.61265563964841</v>
          </cell>
          <cell r="C2312">
            <v>19.983234405517582</v>
          </cell>
          <cell r="D2312">
            <v>474.10662841796881</v>
          </cell>
          <cell r="E2312">
            <v>126.5359573364258</v>
          </cell>
          <cell r="F2312">
            <v>154.55345153808591</v>
          </cell>
        </row>
        <row r="2313">
          <cell r="A2313">
            <v>45510</v>
          </cell>
          <cell r="B2313">
            <v>237.0260925292969</v>
          </cell>
          <cell r="C2313">
            <v>19.704999923706051</v>
          </cell>
          <cell r="D2313">
            <v>492.40396118164063</v>
          </cell>
          <cell r="E2313">
            <v>126.88233947753911</v>
          </cell>
          <cell r="F2313">
            <v>155.30690002441409</v>
          </cell>
        </row>
        <row r="2314">
          <cell r="A2314">
            <v>45511</v>
          </cell>
          <cell r="B2314">
            <v>238.63661193847659</v>
          </cell>
          <cell r="C2314">
            <v>18.989999771118161</v>
          </cell>
          <cell r="D2314">
            <v>487.2515869140625</v>
          </cell>
          <cell r="E2314">
            <v>124.5962600708008</v>
          </cell>
          <cell r="F2314">
            <v>152.7627868652344</v>
          </cell>
        </row>
        <row r="2315">
          <cell r="A2315">
            <v>45512</v>
          </cell>
          <cell r="B2315">
            <v>247.6635437011719</v>
          </cell>
          <cell r="C2315">
            <v>20.489999771118161</v>
          </cell>
          <cell r="D2315">
            <v>507.89093017578119</v>
          </cell>
          <cell r="E2315">
            <v>127.6245803833008</v>
          </cell>
          <cell r="F2315">
            <v>161.40290832519531</v>
          </cell>
        </row>
        <row r="2316">
          <cell r="A2316">
            <v>45513</v>
          </cell>
          <cell r="B2316">
            <v>251.05360412597659</v>
          </cell>
          <cell r="C2316">
            <v>19.70999908447266</v>
          </cell>
          <cell r="D2316">
            <v>516.003173828125</v>
          </cell>
          <cell r="E2316">
            <v>130.69245910644531</v>
          </cell>
          <cell r="F2316">
            <v>160.9430236816406</v>
          </cell>
        </row>
        <row r="2317">
          <cell r="A2317">
            <v>45516</v>
          </cell>
          <cell r="B2317">
            <v>249.8407287597656</v>
          </cell>
          <cell r="C2317">
            <v>19.360000610351559</v>
          </cell>
          <cell r="D2317">
            <v>514.18939208984375</v>
          </cell>
          <cell r="E2317">
            <v>131.20709228515619</v>
          </cell>
          <cell r="F2317">
            <v>159.38722229003909</v>
          </cell>
        </row>
        <row r="2318">
          <cell r="A2318">
            <v>45517</v>
          </cell>
          <cell r="B2318">
            <v>253.11152648925781</v>
          </cell>
          <cell r="C2318">
            <v>20.469999313354489</v>
          </cell>
          <cell r="D2318">
            <v>526.73638916015625</v>
          </cell>
          <cell r="E2318">
            <v>132.86968994140619</v>
          </cell>
          <cell r="F2318">
            <v>165.82572937011719</v>
          </cell>
        </row>
        <row r="2319">
          <cell r="A2319">
            <v>45518</v>
          </cell>
          <cell r="B2319">
            <v>253.8273010253906</v>
          </cell>
          <cell r="C2319">
            <v>19.920000076293949</v>
          </cell>
          <cell r="D2319">
            <v>524.9625244140625</v>
          </cell>
          <cell r="E2319">
            <v>134.19581604003909</v>
          </cell>
          <cell r="F2319">
            <v>163.55558776855469</v>
          </cell>
        </row>
        <row r="2320">
          <cell r="A2320">
            <v>45519</v>
          </cell>
          <cell r="B2320">
            <v>261.25363159179688</v>
          </cell>
          <cell r="C2320">
            <v>20.690000534057621</v>
          </cell>
          <cell r="D2320">
            <v>535.49639892578125</v>
          </cell>
          <cell r="E2320">
            <v>135.51202392578119</v>
          </cell>
          <cell r="F2320">
            <v>169.61250305175781</v>
          </cell>
        </row>
        <row r="2321">
          <cell r="A2321">
            <v>45520</v>
          </cell>
          <cell r="B2321">
            <v>261.37289428710938</v>
          </cell>
          <cell r="C2321">
            <v>20.870000839233398</v>
          </cell>
          <cell r="D2321">
            <v>525.62017822265625</v>
          </cell>
          <cell r="E2321">
            <v>136.04646301269531</v>
          </cell>
          <cell r="F2321">
            <v>168.4774475097656</v>
          </cell>
        </row>
        <row r="2322">
          <cell r="A2322">
            <v>45523</v>
          </cell>
          <cell r="B2322">
            <v>263.8284912109375</v>
          </cell>
          <cell r="C2322">
            <v>21.520000457763668</v>
          </cell>
          <cell r="D2322">
            <v>527.47393798828125</v>
          </cell>
          <cell r="E2322">
            <v>136.4917907714844</v>
          </cell>
          <cell r="F2322">
            <v>170.51271057128909</v>
          </cell>
        </row>
        <row r="2323">
          <cell r="A2323">
            <v>45524</v>
          </cell>
          <cell r="B2323">
            <v>260.30917358398438</v>
          </cell>
          <cell r="C2323">
            <v>20.989999771118161</v>
          </cell>
          <cell r="D2323">
            <v>524.93255615234375</v>
          </cell>
          <cell r="E2323">
            <v>137.72883605957031</v>
          </cell>
          <cell r="F2323">
            <v>168.4089660644531</v>
          </cell>
        </row>
        <row r="2324">
          <cell r="A2324">
            <v>45525</v>
          </cell>
          <cell r="B2324">
            <v>259.56356811523438</v>
          </cell>
          <cell r="C2324">
            <v>21.409999847412109</v>
          </cell>
          <cell r="D2324">
            <v>533.33380126953125</v>
          </cell>
          <cell r="E2324">
            <v>138.7481689453125</v>
          </cell>
          <cell r="F2324">
            <v>170.47357177734381</v>
          </cell>
        </row>
        <row r="2325">
          <cell r="A2325">
            <v>45526</v>
          </cell>
          <cell r="B2325">
            <v>257.07818603515619</v>
          </cell>
          <cell r="C2325">
            <v>20.10000038146973</v>
          </cell>
          <cell r="D2325">
            <v>530.11474609375</v>
          </cell>
          <cell r="E2325">
            <v>136.65013122558591</v>
          </cell>
          <cell r="F2325">
            <v>165.36582946777341</v>
          </cell>
        </row>
        <row r="2326">
          <cell r="A2326">
            <v>45527</v>
          </cell>
          <cell r="B2326">
            <v>262.45654296875</v>
          </cell>
          <cell r="C2326">
            <v>20.54000091552734</v>
          </cell>
          <cell r="D2326">
            <v>526.19818115234375</v>
          </cell>
          <cell r="E2326">
            <v>137.74864196777341</v>
          </cell>
          <cell r="F2326">
            <v>169.76905822753909</v>
          </cell>
        </row>
        <row r="2327">
          <cell r="A2327">
            <v>45530</v>
          </cell>
          <cell r="B2327">
            <v>263.72906494140619</v>
          </cell>
          <cell r="C2327">
            <v>20.129999160766602</v>
          </cell>
          <cell r="D2327">
            <v>519.341796875</v>
          </cell>
          <cell r="E2327">
            <v>137.46162414550781</v>
          </cell>
          <cell r="F2327">
            <v>165.84529113769531</v>
          </cell>
        </row>
        <row r="2328">
          <cell r="A2328">
            <v>45531</v>
          </cell>
          <cell r="B2328">
            <v>262.6553955078125</v>
          </cell>
          <cell r="C2328">
            <v>20.069999694824219</v>
          </cell>
          <cell r="D2328">
            <v>517.32861328125</v>
          </cell>
          <cell r="E2328">
            <v>137.04597473144531</v>
          </cell>
          <cell r="F2328">
            <v>170.1898193359375</v>
          </cell>
        </row>
        <row r="2329">
          <cell r="A2329">
            <v>45532</v>
          </cell>
          <cell r="B2329">
            <v>257.3863525390625</v>
          </cell>
          <cell r="C2329">
            <v>19.610000610351559</v>
          </cell>
          <cell r="D2329">
            <v>515.01654052734375</v>
          </cell>
          <cell r="E2329">
            <v>136.45219421386719</v>
          </cell>
          <cell r="F2329">
            <v>168.15455627441409</v>
          </cell>
        </row>
        <row r="2330">
          <cell r="A2330">
            <v>45533</v>
          </cell>
          <cell r="B2330">
            <v>255.5074157714844</v>
          </cell>
          <cell r="C2330">
            <v>20.129999160766602</v>
          </cell>
          <cell r="D2330">
            <v>516.45159912109375</v>
          </cell>
          <cell r="E2330">
            <v>137.97624206542969</v>
          </cell>
          <cell r="F2330">
            <v>165.84529113769531</v>
          </cell>
        </row>
        <row r="2331">
          <cell r="A2331">
            <v>45534</v>
          </cell>
          <cell r="B2331">
            <v>251.42144775390619</v>
          </cell>
          <cell r="C2331">
            <v>22.04000091552734</v>
          </cell>
          <cell r="D2331">
            <v>519.53106689453125</v>
          </cell>
          <cell r="E2331">
            <v>139.8268737792969</v>
          </cell>
          <cell r="F2331">
            <v>171.53034973144531</v>
          </cell>
        </row>
        <row r="2332">
          <cell r="A2332">
            <v>45538</v>
          </cell>
          <cell r="B2332">
            <v>246.6097412109375</v>
          </cell>
          <cell r="C2332">
            <v>20.10000038146973</v>
          </cell>
          <cell r="D2332">
            <v>510.013671875</v>
          </cell>
          <cell r="E2332">
            <v>138.055419921875</v>
          </cell>
          <cell r="F2332">
            <v>159.7297058105469</v>
          </cell>
        </row>
        <row r="2333">
          <cell r="A2333">
            <v>45539</v>
          </cell>
          <cell r="B2333">
            <v>246.23194885253909</v>
          </cell>
          <cell r="C2333">
            <v>19.430000305175781</v>
          </cell>
          <cell r="D2333">
            <v>510.99029541015619</v>
          </cell>
          <cell r="E2333">
            <v>139.29248046875</v>
          </cell>
          <cell r="F2333">
            <v>161.7747497558594</v>
          </cell>
        </row>
        <row r="2334">
          <cell r="A2334">
            <v>45540</v>
          </cell>
          <cell r="B2334">
            <v>244.68107604980469</v>
          </cell>
          <cell r="C2334">
            <v>19.39999961853027</v>
          </cell>
          <cell r="D2334">
            <v>515.09625244140625</v>
          </cell>
          <cell r="E2334">
            <v>141.13322448730469</v>
          </cell>
          <cell r="F2334">
            <v>161.00758361816409</v>
          </cell>
        </row>
        <row r="2335">
          <cell r="A2335">
            <v>45541</v>
          </cell>
          <cell r="B2335">
            <v>242.54365539550781</v>
          </cell>
          <cell r="C2335">
            <v>18.889999389648441</v>
          </cell>
          <cell r="D2335">
            <v>498.56289672851563</v>
          </cell>
          <cell r="E2335">
            <v>140.34149169921881</v>
          </cell>
          <cell r="F2335">
            <v>155.58821105957031</v>
          </cell>
        </row>
        <row r="2336">
          <cell r="A2336">
            <v>45544</v>
          </cell>
          <cell r="B2336">
            <v>244.32318115234381</v>
          </cell>
          <cell r="C2336">
            <v>19.069999694824219</v>
          </cell>
          <cell r="D2336">
            <v>503.06747436523438</v>
          </cell>
          <cell r="E2336">
            <v>138.4413757324219</v>
          </cell>
          <cell r="F2336">
            <v>158.12579345703119</v>
          </cell>
        </row>
        <row r="2337">
          <cell r="A2337">
            <v>45545</v>
          </cell>
          <cell r="B2337">
            <v>244.7208557128906</v>
          </cell>
          <cell r="C2337">
            <v>18.979999542236332</v>
          </cell>
          <cell r="D2337">
            <v>503.06747436523438</v>
          </cell>
          <cell r="E2337">
            <v>154.27569580078119</v>
          </cell>
          <cell r="F2337">
            <v>159.02081298828119</v>
          </cell>
        </row>
        <row r="2338">
          <cell r="A2338">
            <v>45546</v>
          </cell>
          <cell r="B2338">
            <v>248.11090087890619</v>
          </cell>
          <cell r="C2338">
            <v>19.639999389648441</v>
          </cell>
          <cell r="D2338">
            <v>510.08340454101563</v>
          </cell>
          <cell r="E2338">
            <v>155.5523376464844</v>
          </cell>
          <cell r="F2338">
            <v>163.820556640625</v>
          </cell>
        </row>
        <row r="2339">
          <cell r="A2339">
            <v>45547</v>
          </cell>
          <cell r="B2339">
            <v>251.88868713378909</v>
          </cell>
          <cell r="C2339">
            <v>19.360000610351559</v>
          </cell>
          <cell r="D2339">
            <v>523.806396484375</v>
          </cell>
          <cell r="E2339">
            <v>159.7088623046875</v>
          </cell>
          <cell r="F2339">
            <v>162.26652526855469</v>
          </cell>
        </row>
        <row r="2340">
          <cell r="A2340">
            <v>45548</v>
          </cell>
          <cell r="B2340">
            <v>253.0816955566406</v>
          </cell>
          <cell r="C2340">
            <v>19.659999847412109</v>
          </cell>
          <cell r="D2340">
            <v>522.829833984375</v>
          </cell>
          <cell r="E2340">
            <v>160.35212707519531</v>
          </cell>
          <cell r="F2340">
            <v>164.97129821777341</v>
          </cell>
        </row>
        <row r="2341">
          <cell r="A2341">
            <v>45551</v>
          </cell>
          <cell r="B2341">
            <v>255.40802001953119</v>
          </cell>
          <cell r="C2341">
            <v>20.909999847412109</v>
          </cell>
          <cell r="D2341">
            <v>531.96728515625</v>
          </cell>
          <cell r="E2341">
            <v>168.566162109375</v>
          </cell>
          <cell r="F2341">
            <v>163.8697204589844</v>
          </cell>
        </row>
        <row r="2342">
          <cell r="A2342">
            <v>45552</v>
          </cell>
          <cell r="B2342">
            <v>253.69805908203119</v>
          </cell>
          <cell r="C2342">
            <v>21.469999313354489</v>
          </cell>
          <cell r="D2342">
            <v>534.999755859375</v>
          </cell>
          <cell r="E2342">
            <v>165.73577880859381</v>
          </cell>
          <cell r="F2342">
            <v>165.92535400390619</v>
          </cell>
        </row>
        <row r="2343">
          <cell r="A2343">
            <v>45553</v>
          </cell>
          <cell r="B2343">
            <v>251.3481750488281</v>
          </cell>
          <cell r="C2343">
            <v>20.770000457763668</v>
          </cell>
          <cell r="D2343">
            <v>536.62579345703125</v>
          </cell>
          <cell r="E2343">
            <v>162.82621765136719</v>
          </cell>
          <cell r="F2343">
            <v>165.53193664550781</v>
          </cell>
        </row>
        <row r="2344">
          <cell r="A2344">
            <v>45554</v>
          </cell>
          <cell r="B2344">
            <v>264.85003662109381</v>
          </cell>
          <cell r="C2344">
            <v>21.139999389648441</v>
          </cell>
          <cell r="D2344">
            <v>557.7236328125</v>
          </cell>
          <cell r="E2344">
            <v>165.85453796386719</v>
          </cell>
          <cell r="F2344">
            <v>171.05949401855469</v>
          </cell>
        </row>
        <row r="2345">
          <cell r="A2345">
            <v>45555</v>
          </cell>
          <cell r="B2345">
            <v>265.65655517578119</v>
          </cell>
          <cell r="C2345">
            <v>21.840000152587891</v>
          </cell>
          <cell r="D2345">
            <v>559.9681396484375</v>
          </cell>
          <cell r="E2345">
            <v>166.2602844238281</v>
          </cell>
          <cell r="F2345">
            <v>166.14173889160159</v>
          </cell>
        </row>
        <row r="2346">
          <cell r="A2346">
            <v>45558</v>
          </cell>
          <cell r="B2346">
            <v>263.07766723632813</v>
          </cell>
          <cell r="C2346">
            <v>22.559999465942379</v>
          </cell>
          <cell r="D2346">
            <v>563.02056884765625</v>
          </cell>
          <cell r="E2346">
            <v>164.23152160644531</v>
          </cell>
          <cell r="F2346">
            <v>163.23042297363281</v>
          </cell>
        </row>
        <row r="2347">
          <cell r="A2347">
            <v>45559</v>
          </cell>
          <cell r="B2347">
            <v>269.281005859375</v>
          </cell>
          <cell r="C2347">
            <v>22.809999465942379</v>
          </cell>
          <cell r="D2347">
            <v>561.94329833984375</v>
          </cell>
          <cell r="E2347">
            <v>164.08306884765619</v>
          </cell>
          <cell r="F2347">
            <v>164.20411682128909</v>
          </cell>
        </row>
        <row r="2348">
          <cell r="A2348">
            <v>45560</v>
          </cell>
          <cell r="B2348">
            <v>272.91534423828119</v>
          </cell>
          <cell r="C2348">
            <v>23.54000091552734</v>
          </cell>
          <cell r="D2348">
            <v>566.9110107421875</v>
          </cell>
          <cell r="E2348">
            <v>164.55810546875</v>
          </cell>
          <cell r="F2348">
            <v>165.50242614746091</v>
          </cell>
        </row>
        <row r="2349">
          <cell r="A2349">
            <v>45561</v>
          </cell>
          <cell r="B2349">
            <v>274.57821655273438</v>
          </cell>
          <cell r="C2349">
            <v>23.920000076293949</v>
          </cell>
          <cell r="D2349">
            <v>566.44219970703125</v>
          </cell>
          <cell r="E2349">
            <v>166.3592529296875</v>
          </cell>
          <cell r="F2349">
            <v>169.8202209472656</v>
          </cell>
        </row>
        <row r="2350">
          <cell r="A2350">
            <v>45562</v>
          </cell>
          <cell r="B2350">
            <v>275.45443725585938</v>
          </cell>
          <cell r="C2350">
            <v>23.909999847412109</v>
          </cell>
          <cell r="D2350">
            <v>565.96331787109375</v>
          </cell>
          <cell r="E2350">
            <v>166.99263000488281</v>
          </cell>
          <cell r="F2350">
            <v>167.33183288574219</v>
          </cell>
        </row>
        <row r="2351">
          <cell r="A2351">
            <v>45565</v>
          </cell>
          <cell r="B2351">
            <v>272.5369873046875</v>
          </cell>
          <cell r="C2351">
            <v>23.45999908447266</v>
          </cell>
          <cell r="D2351">
            <v>571.03082275390625</v>
          </cell>
          <cell r="E2351">
            <v>168.63543701171881</v>
          </cell>
          <cell r="F2351">
            <v>167.2531433105469</v>
          </cell>
        </row>
        <row r="2352">
          <cell r="A2352">
            <v>45566</v>
          </cell>
          <cell r="B2352">
            <v>269.70913696289063</v>
          </cell>
          <cell r="C2352">
            <v>22.690000534057621</v>
          </cell>
          <cell r="D2352">
            <v>575.05084228515625</v>
          </cell>
          <cell r="E2352">
            <v>165.42900085449219</v>
          </cell>
          <cell r="F2352">
            <v>163.0533752441406</v>
          </cell>
        </row>
        <row r="2353">
          <cell r="A2353">
            <v>45567</v>
          </cell>
          <cell r="B2353">
            <v>278.28225708007813</v>
          </cell>
          <cell r="C2353">
            <v>22.389999389648441</v>
          </cell>
          <cell r="D2353">
            <v>571.39990234375</v>
          </cell>
          <cell r="E2353">
            <v>165.9732971191406</v>
          </cell>
          <cell r="F2353">
            <v>165.5516052246094</v>
          </cell>
        </row>
        <row r="2354">
          <cell r="A2354">
            <v>45568</v>
          </cell>
          <cell r="B2354">
            <v>279.70611572265619</v>
          </cell>
          <cell r="C2354">
            <v>22.260000228881839</v>
          </cell>
          <cell r="D2354">
            <v>581.33538818359375</v>
          </cell>
          <cell r="E2354">
            <v>165.13209533691409</v>
          </cell>
          <cell r="F2354">
            <v>166.14173889160159</v>
          </cell>
        </row>
        <row r="2355">
          <cell r="A2355">
            <v>45569</v>
          </cell>
          <cell r="B2355">
            <v>286.51681518554688</v>
          </cell>
          <cell r="C2355">
            <v>22.590000152587891</v>
          </cell>
          <cell r="D2355">
            <v>594.4730224609375</v>
          </cell>
          <cell r="E2355">
            <v>169.09068298339841</v>
          </cell>
          <cell r="F2355">
            <v>166.12205505371091</v>
          </cell>
        </row>
        <row r="2356">
          <cell r="A2356">
            <v>45572</v>
          </cell>
          <cell r="B2356">
            <v>283.3504638671875</v>
          </cell>
          <cell r="C2356">
            <v>22.379999160766602</v>
          </cell>
          <cell r="D2356">
            <v>583.34051513671875</v>
          </cell>
          <cell r="E2356">
            <v>168.20989990234381</v>
          </cell>
          <cell r="F2356">
            <v>164.19429016113281</v>
          </cell>
        </row>
        <row r="2357">
          <cell r="A2357">
            <v>45573</v>
          </cell>
          <cell r="B2357">
            <v>290.32046508789063</v>
          </cell>
          <cell r="C2357">
            <v>23.319999694824219</v>
          </cell>
          <cell r="D2357">
            <v>591.4305419921875</v>
          </cell>
          <cell r="E2357">
            <v>172.56431579589841</v>
          </cell>
          <cell r="F2357">
            <v>163.6041564941406</v>
          </cell>
        </row>
        <row r="2358">
          <cell r="A2358">
            <v>45574</v>
          </cell>
          <cell r="B2358">
            <v>286.68606567382813</v>
          </cell>
          <cell r="C2358">
            <v>23.45999908447266</v>
          </cell>
          <cell r="D2358">
            <v>589.056396484375</v>
          </cell>
          <cell r="E2358">
            <v>176.44374084472659</v>
          </cell>
          <cell r="F2358">
            <v>167.42034912109381</v>
          </cell>
        </row>
        <row r="2359">
          <cell r="A2359">
            <v>45575</v>
          </cell>
          <cell r="B2359">
            <v>288.92642211914063</v>
          </cell>
          <cell r="C2359">
            <v>23.219999313354489</v>
          </cell>
          <cell r="D2359">
            <v>582.392822265625</v>
          </cell>
          <cell r="E2359">
            <v>173.9839172363281</v>
          </cell>
          <cell r="F2359">
            <v>165.7483215332031</v>
          </cell>
        </row>
        <row r="2360">
          <cell r="A2360">
            <v>45576</v>
          </cell>
          <cell r="B2360">
            <v>286.86532592773438</v>
          </cell>
          <cell r="C2360">
            <v>23.559999465942379</v>
          </cell>
          <cell r="D2360">
            <v>588.497802734375</v>
          </cell>
          <cell r="E2360">
            <v>174.3409729003906</v>
          </cell>
          <cell r="F2360">
            <v>167.1842956542969</v>
          </cell>
        </row>
        <row r="2361">
          <cell r="A2361">
            <v>45579</v>
          </cell>
          <cell r="B2361">
            <v>290.39013671875</v>
          </cell>
          <cell r="C2361">
            <v>23.440000534057621</v>
          </cell>
          <cell r="D2361">
            <v>588.966552734375</v>
          </cell>
          <cell r="E2361">
            <v>174.68812561035159</v>
          </cell>
          <cell r="F2361">
            <v>175.11174011230469</v>
          </cell>
        </row>
        <row r="2362">
          <cell r="A2362">
            <v>45580</v>
          </cell>
          <cell r="B2362">
            <v>287.11422729492188</v>
          </cell>
          <cell r="C2362">
            <v>22.659999847412109</v>
          </cell>
          <cell r="D2362">
            <v>584.8267822265625</v>
          </cell>
          <cell r="E2362">
            <v>172.67462158203119</v>
          </cell>
          <cell r="F2362">
            <v>171.22669982910159</v>
          </cell>
        </row>
        <row r="2363">
          <cell r="A2363">
            <v>45581</v>
          </cell>
          <cell r="B2363">
            <v>289.61346435546881</v>
          </cell>
          <cell r="C2363">
            <v>22.309999465942379</v>
          </cell>
          <cell r="D2363">
            <v>575.37005615234375</v>
          </cell>
          <cell r="E2363">
            <v>173.34910583496091</v>
          </cell>
          <cell r="F2363">
            <v>168.6596374511719</v>
          </cell>
        </row>
        <row r="2364">
          <cell r="A2364">
            <v>45582</v>
          </cell>
          <cell r="B2364">
            <v>289.86236572265619</v>
          </cell>
          <cell r="C2364">
            <v>22.440000534057621</v>
          </cell>
          <cell r="D2364">
            <v>575.509765625</v>
          </cell>
          <cell r="E2364">
            <v>174.2516784667969</v>
          </cell>
          <cell r="F2364">
            <v>168.28587341308591</v>
          </cell>
        </row>
        <row r="2365">
          <cell r="A2365">
            <v>45583</v>
          </cell>
          <cell r="B2365">
            <v>291.6845703125</v>
          </cell>
          <cell r="C2365">
            <v>22.770000457763668</v>
          </cell>
          <cell r="D2365">
            <v>575.05084228515625</v>
          </cell>
          <cell r="E2365">
            <v>173.26976013183591</v>
          </cell>
          <cell r="F2365">
            <v>168.10882568359381</v>
          </cell>
        </row>
        <row r="2366">
          <cell r="A2366">
            <v>45586</v>
          </cell>
          <cell r="B2366">
            <v>290.04165649414063</v>
          </cell>
          <cell r="C2366">
            <v>22.840000152587891</v>
          </cell>
          <cell r="D2366">
            <v>573.744140625</v>
          </cell>
          <cell r="E2366">
            <v>172.3473205566406</v>
          </cell>
          <cell r="F2366">
            <v>166.23023986816409</v>
          </cell>
        </row>
        <row r="2367">
          <cell r="A2367">
            <v>45587</v>
          </cell>
          <cell r="B2367">
            <v>287.09429931640619</v>
          </cell>
          <cell r="C2367">
            <v>22.39999961853027</v>
          </cell>
          <cell r="D2367">
            <v>580.5772705078125</v>
          </cell>
          <cell r="E2367">
            <v>173.88470458984381</v>
          </cell>
          <cell r="F2367">
            <v>170.33164978027341</v>
          </cell>
        </row>
        <row r="2368">
          <cell r="A2368">
            <v>45588</v>
          </cell>
          <cell r="B2368">
            <v>283.21102905273438</v>
          </cell>
          <cell r="C2368">
            <v>21.979999542236332</v>
          </cell>
          <cell r="D2368">
            <v>562.3023681640625</v>
          </cell>
          <cell r="E2368">
            <v>171.69270324707031</v>
          </cell>
          <cell r="F2368">
            <v>163.8598937988281</v>
          </cell>
        </row>
        <row r="2369">
          <cell r="A2369">
            <v>45589</v>
          </cell>
          <cell r="B2369">
            <v>285.53106689453119</v>
          </cell>
          <cell r="C2369">
            <v>22.340000152587891</v>
          </cell>
          <cell r="D2369">
            <v>566.38238525390625</v>
          </cell>
          <cell r="E2369">
            <v>172.9622802734375</v>
          </cell>
          <cell r="F2369">
            <v>165.33522033691409</v>
          </cell>
        </row>
        <row r="2370">
          <cell r="A2370">
            <v>45590</v>
          </cell>
          <cell r="B2370">
            <v>289.2152099609375</v>
          </cell>
          <cell r="C2370">
            <v>22.680000305175781</v>
          </cell>
          <cell r="D2370">
            <v>571.8388671875</v>
          </cell>
          <cell r="E2370">
            <v>172.10926818847659</v>
          </cell>
          <cell r="F2370">
            <v>167.46952819824219</v>
          </cell>
        </row>
        <row r="2371">
          <cell r="A2371">
            <v>45593</v>
          </cell>
          <cell r="B2371">
            <v>292.51101684570313</v>
          </cell>
          <cell r="C2371">
            <v>22.920000076293949</v>
          </cell>
          <cell r="D2371">
            <v>576.7366943359375</v>
          </cell>
          <cell r="E2371">
            <v>171.01820373535159</v>
          </cell>
          <cell r="F2371">
            <v>169.387451171875</v>
          </cell>
        </row>
        <row r="2372">
          <cell r="A2372">
            <v>45594</v>
          </cell>
          <cell r="B2372">
            <v>297.60910034179688</v>
          </cell>
          <cell r="C2372">
            <v>22.89999961853027</v>
          </cell>
          <cell r="D2372">
            <v>591.819580078125</v>
          </cell>
          <cell r="E2372">
            <v>172.0199890136719</v>
          </cell>
          <cell r="F2372">
            <v>173.10528564453119</v>
          </cell>
        </row>
        <row r="2373">
          <cell r="A2373">
            <v>45595</v>
          </cell>
          <cell r="B2373">
            <v>295.1297607421875</v>
          </cell>
          <cell r="C2373">
            <v>22.29999923706055</v>
          </cell>
          <cell r="D2373">
            <v>590.3431396484375</v>
          </cell>
          <cell r="E2373">
            <v>173.14080810546881</v>
          </cell>
          <cell r="F2373">
            <v>164.86309814453119</v>
          </cell>
        </row>
        <row r="2374">
          <cell r="A2374">
            <v>45596</v>
          </cell>
          <cell r="B2374">
            <v>290.12130737304688</v>
          </cell>
          <cell r="C2374">
            <v>21.520000457763668</v>
          </cell>
          <cell r="D2374">
            <v>566.1827392578125</v>
          </cell>
          <cell r="E2374">
            <v>166.4754333496094</v>
          </cell>
          <cell r="F2374">
            <v>160.09288024902341</v>
          </cell>
        </row>
        <row r="2375">
          <cell r="A2375">
            <v>45597</v>
          </cell>
          <cell r="B2375">
            <v>293.45693969726563</v>
          </cell>
          <cell r="C2375">
            <v>23.20000076293945</v>
          </cell>
          <cell r="D2375">
            <v>565.76385498046875</v>
          </cell>
          <cell r="E2375">
            <v>168.6377258300781</v>
          </cell>
          <cell r="F2375">
            <v>162.55177307128909</v>
          </cell>
        </row>
        <row r="2376">
          <cell r="A2376">
            <v>45600</v>
          </cell>
          <cell r="B2376">
            <v>296.73284912109381</v>
          </cell>
          <cell r="C2376">
            <v>22.520000457763668</v>
          </cell>
          <cell r="D2376">
            <v>559.29974365234375</v>
          </cell>
          <cell r="E2376">
            <v>168.21122741699219</v>
          </cell>
          <cell r="F2376">
            <v>162.46324157714841</v>
          </cell>
        </row>
        <row r="2377">
          <cell r="A2377">
            <v>45601</v>
          </cell>
          <cell r="B2377">
            <v>296.21505737304688</v>
          </cell>
          <cell r="C2377">
            <v>23.319999694824219</v>
          </cell>
          <cell r="D2377">
            <v>571.0208740234375</v>
          </cell>
          <cell r="E2377">
            <v>170.38340759277341</v>
          </cell>
          <cell r="F2377">
            <v>163.1812438964844</v>
          </cell>
        </row>
        <row r="2378">
          <cell r="A2378">
            <v>45602</v>
          </cell>
          <cell r="B2378">
            <v>305.584716796875</v>
          </cell>
          <cell r="C2378">
            <v>25.04999923706055</v>
          </cell>
          <cell r="D2378">
            <v>570.64178466796875</v>
          </cell>
          <cell r="E2378">
            <v>179.76649475097659</v>
          </cell>
          <cell r="F2378">
            <v>170.14479064941409</v>
          </cell>
        </row>
        <row r="2379">
          <cell r="A2379">
            <v>45603</v>
          </cell>
          <cell r="B2379">
            <v>309.4481201171875</v>
          </cell>
          <cell r="C2379">
            <v>26.229999542236332</v>
          </cell>
          <cell r="D2379">
            <v>590.24346923828125</v>
          </cell>
          <cell r="E2379">
            <v>184.85479736328119</v>
          </cell>
          <cell r="F2379">
            <v>170.06610107421881</v>
          </cell>
        </row>
        <row r="2380">
          <cell r="A2380">
            <v>45604</v>
          </cell>
          <cell r="B2380">
            <v>320.57028198242188</v>
          </cell>
          <cell r="C2380">
            <v>26.20000076293945</v>
          </cell>
          <cell r="D2380">
            <v>587.8892822265625</v>
          </cell>
          <cell r="E2380">
            <v>187.71138000488281</v>
          </cell>
          <cell r="F2380">
            <v>168.09901428222659</v>
          </cell>
        </row>
        <row r="2381">
          <cell r="A2381">
            <v>45607</v>
          </cell>
          <cell r="B2381">
            <v>340.26547241210938</v>
          </cell>
          <cell r="C2381">
            <v>25.04999923706055</v>
          </cell>
          <cell r="D2381">
            <v>581.73443603515625</v>
          </cell>
          <cell r="E2381">
            <v>187.59236145019531</v>
          </cell>
          <cell r="F2381">
            <v>165.52207946777341</v>
          </cell>
        </row>
        <row r="2382">
          <cell r="A2382">
            <v>45608</v>
          </cell>
          <cell r="B2382">
            <v>339.68795776367188</v>
          </cell>
          <cell r="C2382">
            <v>24.159999847412109</v>
          </cell>
          <cell r="D2382">
            <v>583.38037109375</v>
          </cell>
          <cell r="E2382">
            <v>188.0386962890625</v>
          </cell>
          <cell r="F2382">
            <v>160.72236633300781</v>
          </cell>
        </row>
        <row r="2383">
          <cell r="A2383">
            <v>45609</v>
          </cell>
          <cell r="B2383">
            <v>340.2554931640625</v>
          </cell>
          <cell r="C2383">
            <v>24.920000076293949</v>
          </cell>
          <cell r="D2383">
            <v>578.572265625</v>
          </cell>
          <cell r="E2383">
            <v>188.08830261230469</v>
          </cell>
          <cell r="F2383">
            <v>157.78153991699219</v>
          </cell>
        </row>
        <row r="2384">
          <cell r="A2384">
            <v>45610</v>
          </cell>
          <cell r="B2384">
            <v>330.22866821289063</v>
          </cell>
          <cell r="C2384">
            <v>25.030000686645511</v>
          </cell>
          <cell r="D2384">
            <v>575.73919677734375</v>
          </cell>
          <cell r="E2384">
            <v>185.5292663574219</v>
          </cell>
          <cell r="F2384">
            <v>161.2731628417969</v>
          </cell>
        </row>
        <row r="2385">
          <cell r="A2385">
            <v>45611</v>
          </cell>
          <cell r="B2385">
            <v>323.8660888671875</v>
          </cell>
          <cell r="C2385">
            <v>24.35000038146973</v>
          </cell>
          <cell r="D2385">
            <v>552.71600341796875</v>
          </cell>
          <cell r="E2385">
            <v>182.2461853027344</v>
          </cell>
          <cell r="F2385">
            <v>157.86021423339841</v>
          </cell>
        </row>
        <row r="2386">
          <cell r="A2386">
            <v>45614</v>
          </cell>
          <cell r="B2386">
            <v>320.86892700195313</v>
          </cell>
          <cell r="C2386">
            <v>24.840000152587891</v>
          </cell>
          <cell r="D2386">
            <v>553.03521728515625</v>
          </cell>
          <cell r="E2386">
            <v>184.21998596191409</v>
          </cell>
          <cell r="F2386">
            <v>161.79441833496091</v>
          </cell>
        </row>
        <row r="2387">
          <cell r="A2387">
            <v>45615</v>
          </cell>
          <cell r="B2387">
            <v>322.04388427734381</v>
          </cell>
          <cell r="C2387">
            <v>24.20000076293945</v>
          </cell>
          <cell r="D2387">
            <v>559.70880126953125</v>
          </cell>
          <cell r="E2387">
            <v>187.36421203613281</v>
          </cell>
          <cell r="F2387">
            <v>162.0009765625</v>
          </cell>
        </row>
        <row r="2388">
          <cell r="A2388">
            <v>45616</v>
          </cell>
          <cell r="B2388">
            <v>324.30419921875</v>
          </cell>
          <cell r="C2388">
            <v>24.010000228881839</v>
          </cell>
          <cell r="D2388">
            <v>564.12786865234375</v>
          </cell>
          <cell r="E2388">
            <v>189.1991882324219</v>
          </cell>
          <cell r="F2388">
            <v>151.73268127441409</v>
          </cell>
        </row>
        <row r="2389">
          <cell r="A2389">
            <v>45617</v>
          </cell>
          <cell r="B2389">
            <v>334.3409423828125</v>
          </cell>
          <cell r="C2389">
            <v>24.440000534057621</v>
          </cell>
          <cell r="D2389">
            <v>561.70391845703125</v>
          </cell>
          <cell r="E2389">
            <v>190.86552429199219</v>
          </cell>
          <cell r="F2389">
            <v>152.90312194824219</v>
          </cell>
        </row>
        <row r="2390">
          <cell r="A2390">
            <v>45618</v>
          </cell>
          <cell r="B2390">
            <v>340.55419921875</v>
          </cell>
          <cell r="C2390">
            <v>24.5</v>
          </cell>
          <cell r="D2390">
            <v>557.76361083984375</v>
          </cell>
          <cell r="E2390">
            <v>190.7266540527344</v>
          </cell>
          <cell r="F2390">
            <v>154.21122741699219</v>
          </cell>
        </row>
        <row r="2391">
          <cell r="A2391">
            <v>45621</v>
          </cell>
          <cell r="B2391">
            <v>337.65667724609381</v>
          </cell>
          <cell r="C2391">
            <v>24.870000839233398</v>
          </cell>
          <cell r="D2391">
            <v>563.71881103515625</v>
          </cell>
          <cell r="E2391">
            <v>186.46162414550781</v>
          </cell>
          <cell r="F2391">
            <v>156.2078552246094</v>
          </cell>
        </row>
        <row r="2392">
          <cell r="A2392">
            <v>45622</v>
          </cell>
          <cell r="B2392">
            <v>341.70925903320313</v>
          </cell>
          <cell r="C2392">
            <v>24.04999923706055</v>
          </cell>
          <cell r="D2392">
            <v>572.12811279296875</v>
          </cell>
          <cell r="E2392">
            <v>188.82225036621091</v>
          </cell>
          <cell r="F2392">
            <v>154.34892272949219</v>
          </cell>
        </row>
        <row r="2393">
          <cell r="A2393">
            <v>45623</v>
          </cell>
          <cell r="B2393">
            <v>328.59573364257813</v>
          </cell>
          <cell r="C2393">
            <v>23.64999961853027</v>
          </cell>
          <cell r="D2393">
            <v>567.798828125</v>
          </cell>
          <cell r="E2393">
            <v>181.2146301269531</v>
          </cell>
          <cell r="F2393">
            <v>153.82763671875</v>
          </cell>
        </row>
        <row r="2394">
          <cell r="A2394">
            <v>45625</v>
          </cell>
          <cell r="B2394">
            <v>328.57577514648438</v>
          </cell>
          <cell r="C2394">
            <v>24.04999923706055</v>
          </cell>
          <cell r="D2394">
            <v>572.90618896484375</v>
          </cell>
          <cell r="E2394">
            <v>183.33723449707031</v>
          </cell>
          <cell r="F2394">
            <v>155.922607421875</v>
          </cell>
        </row>
        <row r="2395">
          <cell r="A2395">
            <v>45628</v>
          </cell>
          <cell r="B2395">
            <v>329.59140014648438</v>
          </cell>
          <cell r="C2395">
            <v>23.930000305175781</v>
          </cell>
          <cell r="D2395">
            <v>591.37066650390625</v>
          </cell>
          <cell r="E2395">
            <v>179.93511962890619</v>
          </cell>
          <cell r="F2395">
            <v>160.3486022949219</v>
          </cell>
        </row>
        <row r="2396">
          <cell r="A2396">
            <v>45629</v>
          </cell>
          <cell r="B2396">
            <v>330.00961303710938</v>
          </cell>
          <cell r="C2396">
            <v>22.469999313354489</v>
          </cell>
          <cell r="D2396">
            <v>612.139404296875</v>
          </cell>
          <cell r="E2396">
            <v>181.403076171875</v>
          </cell>
          <cell r="F2396">
            <v>159.90602111816409</v>
          </cell>
        </row>
        <row r="2397">
          <cell r="A2397">
            <v>45630</v>
          </cell>
          <cell r="B2397">
            <v>366.29345703125</v>
          </cell>
          <cell r="C2397">
            <v>21.95999908447266</v>
          </cell>
          <cell r="D2397">
            <v>612.26904296875</v>
          </cell>
          <cell r="E2397">
            <v>186.65998840332031</v>
          </cell>
          <cell r="F2397">
            <v>160.65350341796881</v>
          </cell>
        </row>
        <row r="2398">
          <cell r="A2398">
            <v>45631</v>
          </cell>
          <cell r="B2398">
            <v>359.83126831054688</v>
          </cell>
          <cell r="C2398">
            <v>20.79999923706055</v>
          </cell>
          <cell r="D2398">
            <v>607.4310302734375</v>
          </cell>
          <cell r="E2398">
            <v>184.7258605957031</v>
          </cell>
          <cell r="F2398">
            <v>158.5772399902344</v>
          </cell>
        </row>
        <row r="2399">
          <cell r="A2399">
            <v>45632</v>
          </cell>
          <cell r="B2399">
            <v>360.43862915039063</v>
          </cell>
          <cell r="C2399">
            <v>20.920000076293949</v>
          </cell>
          <cell r="D2399">
            <v>622.23455810546875</v>
          </cell>
          <cell r="E2399">
            <v>190.13154602050781</v>
          </cell>
          <cell r="F2399">
            <v>157.7071838378906</v>
          </cell>
        </row>
        <row r="2400">
          <cell r="A2400">
            <v>45635</v>
          </cell>
          <cell r="B2400">
            <v>350.06329345703119</v>
          </cell>
          <cell r="C2400">
            <v>20.809999465942379</v>
          </cell>
          <cell r="D2400">
            <v>612.0595703125</v>
          </cell>
          <cell r="E2400">
            <v>188.90162658691409</v>
          </cell>
          <cell r="F2400">
            <v>158.92329406738281</v>
          </cell>
        </row>
        <row r="2401">
          <cell r="A2401">
            <v>45636</v>
          </cell>
          <cell r="B2401">
            <v>347.32510375976563</v>
          </cell>
          <cell r="C2401">
            <v>20.159999847412109</v>
          </cell>
          <cell r="D2401">
            <v>617.79541015625</v>
          </cell>
          <cell r="E2401">
            <v>176.29496765136719</v>
          </cell>
          <cell r="F2401">
            <v>154.691650390625</v>
          </cell>
        </row>
        <row r="2402">
          <cell r="A2402">
            <v>45637</v>
          </cell>
          <cell r="B2402">
            <v>353.32925415039063</v>
          </cell>
          <cell r="C2402">
            <v>20.120000839233398</v>
          </cell>
          <cell r="D2402">
            <v>631.12249755859375</v>
          </cell>
          <cell r="E2402">
            <v>177.12812805175781</v>
          </cell>
          <cell r="F2402">
            <v>158.02357482910159</v>
          </cell>
        </row>
        <row r="2403">
          <cell r="A2403">
            <v>45638</v>
          </cell>
          <cell r="B2403">
            <v>356.49560546875</v>
          </cell>
          <cell r="C2403">
            <v>20.780000686645511</v>
          </cell>
          <cell r="D2403">
            <v>629.2371826171875</v>
          </cell>
          <cell r="E2403">
            <v>173.89463806152341</v>
          </cell>
          <cell r="F2403">
            <v>156.4515380859375</v>
          </cell>
        </row>
        <row r="2404">
          <cell r="A2404">
            <v>45639</v>
          </cell>
          <cell r="B2404">
            <v>352.79156494140619</v>
          </cell>
          <cell r="C2404">
            <v>20.340000152587891</v>
          </cell>
          <cell r="D2404">
            <v>618.8228759765625</v>
          </cell>
          <cell r="E2404">
            <v>171.9803161621094</v>
          </cell>
          <cell r="F2404">
            <v>156.7382507324219</v>
          </cell>
        </row>
        <row r="2405">
          <cell r="A2405">
            <v>45642</v>
          </cell>
          <cell r="B2405">
            <v>355.69903564453119</v>
          </cell>
          <cell r="C2405">
            <v>20.829999923706051</v>
          </cell>
          <cell r="D2405">
            <v>623.20562744140625</v>
          </cell>
          <cell r="E2405">
            <v>169.83787536621091</v>
          </cell>
          <cell r="F2405">
            <v>156.1054992675781</v>
          </cell>
        </row>
        <row r="2406">
          <cell r="A2406">
            <v>45643</v>
          </cell>
          <cell r="B2406">
            <v>349.46588134765619</v>
          </cell>
          <cell r="C2406">
            <v>20.440000534057621</v>
          </cell>
          <cell r="D2406">
            <v>618.41357421875</v>
          </cell>
          <cell r="E2406">
            <v>168.33024597167969</v>
          </cell>
          <cell r="F2406">
            <v>156.13514709472659</v>
          </cell>
        </row>
        <row r="2407">
          <cell r="A2407">
            <v>45644</v>
          </cell>
          <cell r="B2407">
            <v>336.16787719726563</v>
          </cell>
          <cell r="C2407">
            <v>19.29999923706055</v>
          </cell>
          <cell r="D2407">
            <v>596.200439453125</v>
          </cell>
          <cell r="E2407">
            <v>164.06520080566409</v>
          </cell>
          <cell r="F2407">
            <v>151.32020568847659</v>
          </cell>
        </row>
        <row r="2408">
          <cell r="A2408">
            <v>45645</v>
          </cell>
          <cell r="B2408">
            <v>335.17105102539063</v>
          </cell>
          <cell r="C2408">
            <v>19.059999465942379</v>
          </cell>
          <cell r="D2408">
            <v>594.5831298828125</v>
          </cell>
          <cell r="E2408">
            <v>167.417724609375</v>
          </cell>
          <cell r="F2408">
            <v>148.70014953613281</v>
          </cell>
        </row>
        <row r="2409">
          <cell r="A2409">
            <v>45646</v>
          </cell>
          <cell r="B2409">
            <v>342.56765747070313</v>
          </cell>
          <cell r="C2409">
            <v>19.520000457763668</v>
          </cell>
          <cell r="D2409">
            <v>584.28021240234375</v>
          </cell>
          <cell r="E2409">
            <v>168.2806396484375</v>
          </cell>
          <cell r="F2409">
            <v>151.16200256347659</v>
          </cell>
        </row>
        <row r="2410">
          <cell r="A2410">
            <v>45649</v>
          </cell>
          <cell r="B2410">
            <v>341.82003784179688</v>
          </cell>
          <cell r="C2410">
            <v>20.20000076293945</v>
          </cell>
          <cell r="D2410">
            <v>598.85601806640625</v>
          </cell>
          <cell r="E2410">
            <v>167.76487731933591</v>
          </cell>
          <cell r="F2410">
            <v>156.4515380859375</v>
          </cell>
        </row>
        <row r="2411">
          <cell r="A2411">
            <v>45650</v>
          </cell>
          <cell r="B2411">
            <v>343.34518432617188</v>
          </cell>
          <cell r="C2411">
            <v>20.39999961853027</v>
          </cell>
          <cell r="D2411">
            <v>606.742919921875</v>
          </cell>
          <cell r="E2411">
            <v>170.01641845703119</v>
          </cell>
          <cell r="F2411">
            <v>157.55888366699219</v>
          </cell>
        </row>
        <row r="2412">
          <cell r="A2412">
            <v>45652</v>
          </cell>
          <cell r="B2412">
            <v>340.64373779296881</v>
          </cell>
          <cell r="C2412">
            <v>20.440000534057621</v>
          </cell>
          <cell r="D2412">
            <v>602.3502197265625</v>
          </cell>
          <cell r="E2412">
            <v>170.28422546386719</v>
          </cell>
          <cell r="F2412">
            <v>156.7382507324219</v>
          </cell>
        </row>
        <row r="2413">
          <cell r="A2413">
            <v>45653</v>
          </cell>
          <cell r="B2413">
            <v>337.38406372070313</v>
          </cell>
          <cell r="C2413">
            <v>20.29999923706055</v>
          </cell>
          <cell r="D2413">
            <v>598.8160400390625</v>
          </cell>
          <cell r="E2413">
            <v>167.58634948730469</v>
          </cell>
          <cell r="F2413">
            <v>155.46284484863281</v>
          </cell>
        </row>
        <row r="2414">
          <cell r="A2414">
            <v>45656</v>
          </cell>
          <cell r="B2414">
            <v>334.68258666992188</v>
          </cell>
          <cell r="C2414">
            <v>19.819999694824219</v>
          </cell>
          <cell r="D2414">
            <v>590.26025390625</v>
          </cell>
          <cell r="E2414">
            <v>165.55302429199219</v>
          </cell>
          <cell r="F2414">
            <v>152.83290100097659</v>
          </cell>
        </row>
        <row r="2415">
          <cell r="A2415">
            <v>45657</v>
          </cell>
          <cell r="B2415">
            <v>333.27700805664063</v>
          </cell>
          <cell r="C2415">
            <v>20.04999923706055</v>
          </cell>
          <cell r="D2415">
            <v>584.539794921875</v>
          </cell>
          <cell r="E2415">
            <v>165.28520202636719</v>
          </cell>
          <cell r="F2415">
            <v>151.8837585449219</v>
          </cell>
        </row>
        <row r="2416">
          <cell r="A2416">
            <v>45659</v>
          </cell>
          <cell r="B2416">
            <v>329.61859130859381</v>
          </cell>
          <cell r="C2416">
            <v>20.219999313354489</v>
          </cell>
          <cell r="D2416">
            <v>598.2470703125</v>
          </cell>
          <cell r="E2416">
            <v>164.68016052246091</v>
          </cell>
          <cell r="F2416">
            <v>151.9035339355469</v>
          </cell>
        </row>
        <row r="2417">
          <cell r="A2417">
            <v>45660</v>
          </cell>
          <cell r="B2417">
            <v>331.85153198242188</v>
          </cell>
          <cell r="C2417">
            <v>20.559999465942379</v>
          </cell>
          <cell r="D2417">
            <v>603.62811279296875</v>
          </cell>
          <cell r="E2417">
            <v>164.9678039550781</v>
          </cell>
          <cell r="F2417">
            <v>156.0461730957031</v>
          </cell>
        </row>
        <row r="2418">
          <cell r="A2418">
            <v>45663</v>
          </cell>
          <cell r="B2418">
            <v>329.48898315429688</v>
          </cell>
          <cell r="C2418">
            <v>19.870000839233398</v>
          </cell>
          <cell r="D2418">
            <v>629.15576171875</v>
          </cell>
          <cell r="E2418">
            <v>164.3429260253906</v>
          </cell>
          <cell r="F2418">
            <v>158.04335021972659</v>
          </cell>
        </row>
        <row r="2419">
          <cell r="A2419">
            <v>45664</v>
          </cell>
          <cell r="B2419">
            <v>323.9066162109375</v>
          </cell>
          <cell r="C2419">
            <v>20.010000228881839</v>
          </cell>
          <cell r="D2419">
            <v>616.86614990234375</v>
          </cell>
          <cell r="E2419">
            <v>160.7126770019531</v>
          </cell>
          <cell r="F2419">
            <v>158.7057800292969</v>
          </cell>
        </row>
        <row r="2420">
          <cell r="A2420">
            <v>45665</v>
          </cell>
          <cell r="B2420">
            <v>325.87039184570313</v>
          </cell>
          <cell r="C2420">
            <v>19.879999160766602</v>
          </cell>
          <cell r="D2420">
            <v>609.7080078125</v>
          </cell>
          <cell r="E2420">
            <v>161.81364440917969</v>
          </cell>
          <cell r="F2420">
            <v>157.28204345703119</v>
          </cell>
        </row>
        <row r="2421">
          <cell r="A2421">
            <v>45667</v>
          </cell>
          <cell r="B2421">
            <v>316.84893798828119</v>
          </cell>
          <cell r="C2421">
            <v>19.14999961853027</v>
          </cell>
          <cell r="D2421">
            <v>614.8394775390625</v>
          </cell>
          <cell r="E2421">
            <v>153.62055969238281</v>
          </cell>
          <cell r="F2421">
            <v>155.2057800292969</v>
          </cell>
        </row>
        <row r="2422">
          <cell r="A2422">
            <v>45670</v>
          </cell>
          <cell r="B2422">
            <v>318.06509399414063</v>
          </cell>
          <cell r="C2422">
            <v>19.20000076293945</v>
          </cell>
          <cell r="D2422">
            <v>607.32196044921875</v>
          </cell>
          <cell r="E2422">
            <v>153.04386901855469</v>
          </cell>
          <cell r="F2422">
            <v>155.35408020019531</v>
          </cell>
        </row>
        <row r="2423">
          <cell r="A2423">
            <v>45671</v>
          </cell>
          <cell r="B2423">
            <v>322.52099609375</v>
          </cell>
          <cell r="C2423">
            <v>19.20000076293945</v>
          </cell>
          <cell r="D2423">
            <v>593.2652587890625</v>
          </cell>
          <cell r="E2423">
            <v>155.4202575683594</v>
          </cell>
          <cell r="F2423">
            <v>157.7269592285156</v>
          </cell>
        </row>
        <row r="2424">
          <cell r="A2424">
            <v>45672</v>
          </cell>
          <cell r="B2424">
            <v>320.14849853515619</v>
          </cell>
          <cell r="C2424">
            <v>19.719999313354489</v>
          </cell>
          <cell r="D2424">
            <v>616.09735107421875</v>
          </cell>
          <cell r="E2424">
            <v>157.40887451171881</v>
          </cell>
          <cell r="F2424">
            <v>162.55180358886719</v>
          </cell>
        </row>
        <row r="2425">
          <cell r="A2425">
            <v>45673</v>
          </cell>
          <cell r="B2425">
            <v>318.99215698242188</v>
          </cell>
          <cell r="C2425">
            <v>19.670000076293949</v>
          </cell>
          <cell r="D2425">
            <v>610.28704833984375</v>
          </cell>
          <cell r="E2425">
            <v>158.6318664550781</v>
          </cell>
          <cell r="F2425">
            <v>159.60548400878909</v>
          </cell>
        </row>
        <row r="2426">
          <cell r="A2426">
            <v>45674</v>
          </cell>
          <cell r="B2426">
            <v>323.53781127929688</v>
          </cell>
          <cell r="C2426">
            <v>21.489999771118161</v>
          </cell>
          <cell r="D2426">
            <v>611.754638671875</v>
          </cell>
          <cell r="E2426">
            <v>160.11338806152341</v>
          </cell>
          <cell r="F2426">
            <v>162.7001037597656</v>
          </cell>
        </row>
        <row r="2427">
          <cell r="A2427">
            <v>45678</v>
          </cell>
          <cell r="B2427">
            <v>325.81057739257813</v>
          </cell>
          <cell r="C2427">
            <v>21.770000457763668</v>
          </cell>
          <cell r="D2427">
            <v>615.43853759765625</v>
          </cell>
          <cell r="E2427">
            <v>171.58770751953119</v>
          </cell>
          <cell r="F2427">
            <v>165.3794860839844</v>
          </cell>
        </row>
        <row r="2428">
          <cell r="A2428">
            <v>45679</v>
          </cell>
          <cell r="B2428">
            <v>331.5723876953125</v>
          </cell>
          <cell r="C2428">
            <v>21.860000610351559</v>
          </cell>
          <cell r="D2428">
            <v>622.46685791015625</v>
          </cell>
          <cell r="E2428">
            <v>183.17138671875</v>
          </cell>
          <cell r="F2428">
            <v>168.31591796875</v>
          </cell>
        </row>
        <row r="2429">
          <cell r="A2429">
            <v>45680</v>
          </cell>
          <cell r="B2429">
            <v>333.60595703125</v>
          </cell>
          <cell r="C2429">
            <v>21.569999694824219</v>
          </cell>
          <cell r="D2429">
            <v>635.3953857421875</v>
          </cell>
          <cell r="E2429">
            <v>185.40858459472659</v>
          </cell>
          <cell r="F2429">
            <v>172.38934326171881</v>
          </cell>
        </row>
        <row r="2430">
          <cell r="A2430">
            <v>45681</v>
          </cell>
          <cell r="B2430">
            <v>332.82843017578119</v>
          </cell>
          <cell r="C2430">
            <v>20.829999923706051</v>
          </cell>
          <cell r="D2430">
            <v>646.4171142578125</v>
          </cell>
          <cell r="E2430">
            <v>182.55491638183591</v>
          </cell>
          <cell r="F2430">
            <v>170.16477966308591</v>
          </cell>
        </row>
        <row r="2431">
          <cell r="A2431">
            <v>45684</v>
          </cell>
          <cell r="B2431">
            <v>346.00680541992188</v>
          </cell>
          <cell r="C2431">
            <v>20.29000091552734</v>
          </cell>
          <cell r="D2431">
            <v>658.78656005859375</v>
          </cell>
          <cell r="E2431">
            <v>157.37904357910159</v>
          </cell>
          <cell r="F2431">
            <v>169.24528503417969</v>
          </cell>
        </row>
        <row r="2432">
          <cell r="A2432">
            <v>45685</v>
          </cell>
          <cell r="B2432">
            <v>358.81631469726563</v>
          </cell>
          <cell r="C2432">
            <v>19.79999923706055</v>
          </cell>
          <cell r="D2432">
            <v>673.212646484375</v>
          </cell>
          <cell r="E2432">
            <v>163.06648254394531</v>
          </cell>
          <cell r="F2432">
            <v>169.61109924316409</v>
          </cell>
        </row>
        <row r="2433">
          <cell r="A2433">
            <v>45686</v>
          </cell>
          <cell r="B2433">
            <v>352.88507080078119</v>
          </cell>
          <cell r="C2433">
            <v>19.75</v>
          </cell>
          <cell r="D2433">
            <v>675.3690185546875</v>
          </cell>
          <cell r="E2433">
            <v>161.09776306152341</v>
          </cell>
          <cell r="F2433">
            <v>169.76930236816409</v>
          </cell>
        </row>
        <row r="2434">
          <cell r="A2434">
            <v>45687</v>
          </cell>
          <cell r="B2434">
            <v>342.4879150390625</v>
          </cell>
          <cell r="C2434">
            <v>20.010000228881839</v>
          </cell>
          <cell r="D2434">
            <v>685.86163330078125</v>
          </cell>
          <cell r="E2434">
            <v>169.4101867675781</v>
          </cell>
          <cell r="F2434">
            <v>169.98680114746091</v>
          </cell>
        </row>
        <row r="2435">
          <cell r="A2435">
            <v>45688</v>
          </cell>
          <cell r="B2435">
            <v>340.62380981445313</v>
          </cell>
          <cell r="C2435">
            <v>19.430000305175781</v>
          </cell>
          <cell r="D2435">
            <v>688.03802490234375</v>
          </cell>
          <cell r="E2435">
            <v>169.09199523925781</v>
          </cell>
          <cell r="F2435">
            <v>170.9754943847656</v>
          </cell>
        </row>
        <row r="2436">
          <cell r="A2436">
            <v>45691</v>
          </cell>
          <cell r="B2436">
            <v>338.17153930664063</v>
          </cell>
          <cell r="C2436">
            <v>19.379999160766602</v>
          </cell>
          <cell r="D2436">
            <v>696.30426025390625</v>
          </cell>
          <cell r="E2436">
            <v>167.64030456542969</v>
          </cell>
          <cell r="F2436">
            <v>168.31591796875</v>
          </cell>
        </row>
        <row r="2437">
          <cell r="A2437">
            <v>45692</v>
          </cell>
          <cell r="B2437">
            <v>343.05612182617188</v>
          </cell>
          <cell r="C2437">
            <v>19.29000091552734</v>
          </cell>
          <cell r="D2437">
            <v>703.02313232421875</v>
          </cell>
          <cell r="E2437">
            <v>166.93434143066409</v>
          </cell>
          <cell r="F2437">
            <v>171.0842590332031</v>
          </cell>
        </row>
        <row r="2438">
          <cell r="A2438">
            <v>45693</v>
          </cell>
          <cell r="B2438">
            <v>346.83416748046881</v>
          </cell>
          <cell r="C2438">
            <v>19.64999961853027</v>
          </cell>
          <cell r="D2438">
            <v>703.7020263671875</v>
          </cell>
          <cell r="E2438">
            <v>170.68287658691409</v>
          </cell>
          <cell r="F2438">
            <v>173.87239074707031</v>
          </cell>
        </row>
        <row r="2439">
          <cell r="A2439">
            <v>45694</v>
          </cell>
          <cell r="B2439">
            <v>329.76809692382813</v>
          </cell>
          <cell r="C2439">
            <v>19.379999160766602</v>
          </cell>
          <cell r="D2439">
            <v>710.8101806640625</v>
          </cell>
          <cell r="E2439">
            <v>171.36895751953119</v>
          </cell>
          <cell r="F2439">
            <v>167.40631103515619</v>
          </cell>
        </row>
        <row r="2440">
          <cell r="A2440">
            <v>45695</v>
          </cell>
          <cell r="B2440">
            <v>324.80377197265619</v>
          </cell>
          <cell r="C2440">
            <v>19.10000038146973</v>
          </cell>
          <cell r="D2440">
            <v>713.33599853515625</v>
          </cell>
          <cell r="E2440">
            <v>173.4669494628906</v>
          </cell>
          <cell r="F2440">
            <v>166.0616760253906</v>
          </cell>
        </row>
        <row r="2441">
          <cell r="A2441">
            <v>45698</v>
          </cell>
          <cell r="B2441">
            <v>326.16949462890619</v>
          </cell>
          <cell r="C2441">
            <v>19.770000457763668</v>
          </cell>
          <cell r="D2441">
            <v>716.21124267578125</v>
          </cell>
          <cell r="E2441">
            <v>177.90155029296881</v>
          </cell>
          <cell r="F2441">
            <v>169.42326354980469</v>
          </cell>
        </row>
        <row r="2442">
          <cell r="A2442">
            <v>45699</v>
          </cell>
          <cell r="B2442">
            <v>323.3782958984375</v>
          </cell>
          <cell r="C2442">
            <v>20.969999313354489</v>
          </cell>
          <cell r="D2442">
            <v>718.60723876953125</v>
          </cell>
          <cell r="E2442">
            <v>176.18141174316409</v>
          </cell>
          <cell r="F2442">
            <v>170.046142578125</v>
          </cell>
        </row>
        <row r="2443">
          <cell r="A2443">
            <v>45700</v>
          </cell>
          <cell r="B2443">
            <v>325.09286499023438</v>
          </cell>
          <cell r="C2443">
            <v>22.479999542236332</v>
          </cell>
          <cell r="D2443">
            <v>724.17803955078125</v>
          </cell>
          <cell r="E2443">
            <v>171.23970031738281</v>
          </cell>
          <cell r="F2443">
            <v>168.3653259277344</v>
          </cell>
        </row>
        <row r="2444">
          <cell r="A2444">
            <v>45701</v>
          </cell>
          <cell r="B2444">
            <v>328.8111572265625</v>
          </cell>
          <cell r="C2444">
            <v>24.129999160766602</v>
          </cell>
          <cell r="D2444">
            <v>727.352783203125</v>
          </cell>
          <cell r="E2444">
            <v>172.870361328125</v>
          </cell>
          <cell r="F2444">
            <v>170.20433044433591</v>
          </cell>
        </row>
        <row r="2445">
          <cell r="A2445">
            <v>45702</v>
          </cell>
          <cell r="B2445">
            <v>325.51156616210938</v>
          </cell>
          <cell r="C2445">
            <v>23.60000038146973</v>
          </cell>
          <cell r="D2445">
            <v>735.44927978515625</v>
          </cell>
          <cell r="E2445">
            <v>173.16865539550781</v>
          </cell>
          <cell r="F2445">
            <v>170.2834167480469</v>
          </cell>
        </row>
        <row r="2446">
          <cell r="A2446">
            <v>45706</v>
          </cell>
          <cell r="B2446">
            <v>327.92391967773438</v>
          </cell>
          <cell r="C2446">
            <v>27.389999389648441</v>
          </cell>
          <cell r="D2446">
            <v>715.18292236328125</v>
          </cell>
          <cell r="E2446">
            <v>178.77655029296881</v>
          </cell>
          <cell r="F2446">
            <v>171.67747497558591</v>
          </cell>
        </row>
        <row r="2447">
          <cell r="A2447">
            <v>45707</v>
          </cell>
          <cell r="B2447">
            <v>323.50787353515619</v>
          </cell>
          <cell r="C2447">
            <v>25.719999313354489</v>
          </cell>
          <cell r="D2447">
            <v>702.6038818359375</v>
          </cell>
          <cell r="E2447">
            <v>180.48675537109381</v>
          </cell>
          <cell r="F2447">
            <v>173.2396240234375</v>
          </cell>
        </row>
        <row r="2448">
          <cell r="A2448">
            <v>45708</v>
          </cell>
          <cell r="B2448">
            <v>317.42709350585938</v>
          </cell>
          <cell r="C2448">
            <v>26.090000152587891</v>
          </cell>
          <cell r="D2448">
            <v>693.6885986328125</v>
          </cell>
          <cell r="E2448">
            <v>174.9981689453125</v>
          </cell>
          <cell r="F2448">
            <v>171.73680114746091</v>
          </cell>
        </row>
        <row r="2449">
          <cell r="A2449">
            <v>45709</v>
          </cell>
          <cell r="B2449">
            <v>308.82424926757813</v>
          </cell>
          <cell r="C2449">
            <v>24.870000839233398</v>
          </cell>
          <cell r="D2449">
            <v>682.4173583984375</v>
          </cell>
          <cell r="E2449">
            <v>166.85478210449219</v>
          </cell>
          <cell r="F2449">
            <v>163.56025695800781</v>
          </cell>
        </row>
        <row r="2450">
          <cell r="A2450">
            <v>45712</v>
          </cell>
          <cell r="B2450">
            <v>307.34893798828119</v>
          </cell>
          <cell r="C2450">
            <v>24.270000457763668</v>
          </cell>
          <cell r="D2450">
            <v>667.02288818359375</v>
          </cell>
          <cell r="E2450">
            <v>168.99256896972659</v>
          </cell>
          <cell r="F2450">
            <v>159.27922058105469</v>
          </cell>
        </row>
        <row r="2451">
          <cell r="A2451">
            <v>45713</v>
          </cell>
          <cell r="B2451">
            <v>304.9166259765625</v>
          </cell>
          <cell r="C2451">
            <v>22.989999771118161</v>
          </cell>
          <cell r="D2451">
            <v>656.4105224609375</v>
          </cell>
          <cell r="E2451">
            <v>167.58062744140619</v>
          </cell>
          <cell r="F2451">
            <v>159.3978576660156</v>
          </cell>
        </row>
        <row r="2452">
          <cell r="A2452">
            <v>45714</v>
          </cell>
          <cell r="B2452">
            <v>306.36203002929688</v>
          </cell>
          <cell r="C2452">
            <v>23.520000457763668</v>
          </cell>
          <cell r="D2452">
            <v>672.58367919921875</v>
          </cell>
          <cell r="E2452">
            <v>171.48826599121091</v>
          </cell>
          <cell r="F2452">
            <v>160.2679138183594</v>
          </cell>
        </row>
        <row r="2453">
          <cell r="A2453">
            <v>45715</v>
          </cell>
          <cell r="B2453">
            <v>293.97119140625</v>
          </cell>
          <cell r="C2453">
            <v>23.090000152587891</v>
          </cell>
          <cell r="D2453">
            <v>657.14923095703125</v>
          </cell>
          <cell r="E2453">
            <v>163.82215881347659</v>
          </cell>
          <cell r="F2453">
            <v>152.6944885253906</v>
          </cell>
        </row>
        <row r="2454">
          <cell r="A2454">
            <v>45716</v>
          </cell>
          <cell r="B2454">
            <v>296.91192626953119</v>
          </cell>
          <cell r="C2454">
            <v>23.729999542236332</v>
          </cell>
          <cell r="D2454">
            <v>667.0927734375</v>
          </cell>
          <cell r="E2454">
            <v>165.11476135253909</v>
          </cell>
          <cell r="F2454">
            <v>155.39363098144531</v>
          </cell>
        </row>
        <row r="2455">
          <cell r="A2455">
            <v>45719</v>
          </cell>
          <cell r="B2455">
            <v>292.13699340820313</v>
          </cell>
          <cell r="C2455">
            <v>22.739999771118161</v>
          </cell>
          <cell r="D2455">
            <v>653.964599609375</v>
          </cell>
          <cell r="E2455">
            <v>161.09776306152341</v>
          </cell>
          <cell r="F2455">
            <v>151.8837585449219</v>
          </cell>
        </row>
        <row r="2456">
          <cell r="A2456">
            <v>45720</v>
          </cell>
          <cell r="B2456">
            <v>286.43502807617188</v>
          </cell>
          <cell r="C2456">
            <v>21.329999923706051</v>
          </cell>
          <cell r="D2456">
            <v>638.93951416015625</v>
          </cell>
          <cell r="E2456">
            <v>156.57365417480469</v>
          </cell>
          <cell r="F2456">
            <v>152.7142639160156</v>
          </cell>
        </row>
        <row r="2457">
          <cell r="A2457">
            <v>45721</v>
          </cell>
          <cell r="B2457">
            <v>291.05044555664063</v>
          </cell>
          <cell r="C2457">
            <v>20.809999465942379</v>
          </cell>
          <cell r="D2457">
            <v>655.3822021484375</v>
          </cell>
          <cell r="E2457">
            <v>160.640380859375</v>
          </cell>
          <cell r="F2457">
            <v>156.69871520996091</v>
          </cell>
        </row>
        <row r="2458">
          <cell r="A2458">
            <v>45722</v>
          </cell>
          <cell r="B2458">
            <v>285.1490478515625</v>
          </cell>
          <cell r="C2458">
            <v>20.75</v>
          </cell>
          <cell r="D2458">
            <v>626.88946533203125</v>
          </cell>
          <cell r="E2458">
            <v>150.08082580566409</v>
          </cell>
          <cell r="F2458">
            <v>155.10826110839841</v>
          </cell>
        </row>
        <row r="2459">
          <cell r="A2459">
            <v>45723</v>
          </cell>
          <cell r="B2459">
            <v>281.99905395507813</v>
          </cell>
          <cell r="C2459">
            <v>20.639999389648441</v>
          </cell>
          <cell r="D2459">
            <v>624.62322998046875</v>
          </cell>
          <cell r="E2459">
            <v>154.27680969238281</v>
          </cell>
          <cell r="F2459">
            <v>160.25733947753909</v>
          </cell>
        </row>
        <row r="2460">
          <cell r="A2460">
            <v>45726</v>
          </cell>
          <cell r="B2460">
            <v>272.04046630859381</v>
          </cell>
          <cell r="C2460">
            <v>19.930000305175781</v>
          </cell>
          <cell r="D2460">
            <v>596.99908447265625</v>
          </cell>
          <cell r="E2460">
            <v>147.94305419921881</v>
          </cell>
          <cell r="F2460">
            <v>154.0545959472656</v>
          </cell>
        </row>
        <row r="2461">
          <cell r="A2461">
            <v>45727</v>
          </cell>
          <cell r="B2461">
            <v>276.17739868164063</v>
          </cell>
          <cell r="C2461">
            <v>19.780000686645511</v>
          </cell>
          <cell r="D2461">
            <v>604.70635986328125</v>
          </cell>
          <cell r="E2461">
            <v>143.35929870605469</v>
          </cell>
          <cell r="F2461">
            <v>152.1858215332031</v>
          </cell>
        </row>
        <row r="2462">
          <cell r="A2462">
            <v>45728</v>
          </cell>
          <cell r="B2462">
            <v>283.68368530273438</v>
          </cell>
          <cell r="C2462">
            <v>20.680000305175781</v>
          </cell>
          <cell r="D2462">
            <v>618.53338623046875</v>
          </cell>
          <cell r="E2462">
            <v>150.03111267089841</v>
          </cell>
          <cell r="F2462">
            <v>151.88761901855469</v>
          </cell>
        </row>
        <row r="2463">
          <cell r="A2463">
            <v>45729</v>
          </cell>
          <cell r="B2463">
            <v>270.8841552734375</v>
          </cell>
          <cell r="C2463">
            <v>23.70000076293945</v>
          </cell>
          <cell r="D2463">
            <v>589.66131591796875</v>
          </cell>
          <cell r="E2463">
            <v>146.8194885253906</v>
          </cell>
          <cell r="F2463">
            <v>151.0327453613281</v>
          </cell>
        </row>
        <row r="2464">
          <cell r="A2464">
            <v>45730</v>
          </cell>
          <cell r="B2464">
            <v>278.52001953125</v>
          </cell>
          <cell r="C2464">
            <v>24.04999923706055</v>
          </cell>
          <cell r="D2464">
            <v>607.1328125</v>
          </cell>
          <cell r="E2464">
            <v>148.42034912109381</v>
          </cell>
          <cell r="F2464">
            <v>155.64503479003909</v>
          </cell>
        </row>
        <row r="2465">
          <cell r="A2465">
            <v>45733</v>
          </cell>
          <cell r="B2465">
            <v>279.86578369140619</v>
          </cell>
          <cell r="C2465">
            <v>25.690000534057621</v>
          </cell>
          <cell r="D2465">
            <v>604.4349365234375</v>
          </cell>
          <cell r="E2465">
            <v>153.13334655761719</v>
          </cell>
          <cell r="F2465">
            <v>157.00685119628909</v>
          </cell>
        </row>
        <row r="2466">
          <cell r="A2466">
            <v>45734</v>
          </cell>
          <cell r="B2466">
            <v>277.85214233398438</v>
          </cell>
          <cell r="C2466">
            <v>25.920000076293949</v>
          </cell>
          <cell r="D2466">
            <v>581.9122314453125</v>
          </cell>
          <cell r="E2466">
            <v>148.59930419921881</v>
          </cell>
          <cell r="F2466">
            <v>155.35676574707031</v>
          </cell>
        </row>
        <row r="2467">
          <cell r="A2467">
            <v>45735</v>
          </cell>
          <cell r="B2467">
            <v>278.51007080078119</v>
          </cell>
          <cell r="C2467">
            <v>24.120000839233398</v>
          </cell>
          <cell r="D2467">
            <v>583.6109619140625</v>
          </cell>
          <cell r="E2467">
            <v>151.58222961425781</v>
          </cell>
          <cell r="F2467">
            <v>157.31500244140619</v>
          </cell>
        </row>
        <row r="2468">
          <cell r="A2468">
            <v>45736</v>
          </cell>
          <cell r="B2468">
            <v>278.15118408203119</v>
          </cell>
          <cell r="C2468">
            <v>23.95999908447266</v>
          </cell>
          <cell r="D2468">
            <v>585.5494384765625</v>
          </cell>
          <cell r="E2468">
            <v>151.85069274902341</v>
          </cell>
          <cell r="F2468">
            <v>157.00685119628909</v>
          </cell>
        </row>
        <row r="2469">
          <cell r="A2469">
            <v>45737</v>
          </cell>
          <cell r="B2469">
            <v>279.73617553710938</v>
          </cell>
          <cell r="C2469">
            <v>24.260000228881839</v>
          </cell>
          <cell r="D2469">
            <v>595.79156494140625</v>
          </cell>
          <cell r="E2469">
            <v>151.36347961425781</v>
          </cell>
          <cell r="F2469">
            <v>155.88362121582031</v>
          </cell>
        </row>
        <row r="2470">
          <cell r="A2470">
            <v>45740</v>
          </cell>
          <cell r="B2470">
            <v>285.05935668945313</v>
          </cell>
          <cell r="C2470">
            <v>24.219999313354489</v>
          </cell>
          <cell r="D2470">
            <v>618.37420654296875</v>
          </cell>
          <cell r="E2470">
            <v>153.98844909667969</v>
          </cell>
          <cell r="F2470">
            <v>159.1241455078125</v>
          </cell>
        </row>
        <row r="2471">
          <cell r="A2471">
            <v>45741</v>
          </cell>
          <cell r="B2471">
            <v>287.70101928710938</v>
          </cell>
          <cell r="C2471">
            <v>24.20000076293945</v>
          </cell>
          <cell r="D2471">
            <v>625.8284912109375</v>
          </cell>
          <cell r="E2471">
            <v>153.05378723144531</v>
          </cell>
          <cell r="F2471">
            <v>159.19371032714841</v>
          </cell>
        </row>
        <row r="2472">
          <cell r="A2472">
            <v>45742</v>
          </cell>
          <cell r="B2472">
            <v>280.10498046875</v>
          </cell>
          <cell r="C2472">
            <v>23.420000076293949</v>
          </cell>
          <cell r="D2472">
            <v>610.51025390625</v>
          </cell>
          <cell r="E2472">
            <v>146.95869445800781</v>
          </cell>
          <cell r="F2472">
            <v>157.44422912597659</v>
          </cell>
        </row>
        <row r="2473">
          <cell r="A2473">
            <v>45743</v>
          </cell>
          <cell r="B2473">
            <v>276.93502807617188</v>
          </cell>
          <cell r="C2473">
            <v>23.620000839233398</v>
          </cell>
          <cell r="D2473">
            <v>602.11669921875</v>
          </cell>
          <cell r="E2473">
            <v>144.9501953125</v>
          </cell>
          <cell r="F2473">
            <v>157.02674865722659</v>
          </cell>
        </row>
        <row r="2474">
          <cell r="A2474">
            <v>45744</v>
          </cell>
          <cell r="B2474">
            <v>269.11972045898438</v>
          </cell>
          <cell r="C2474">
            <v>22.70999908447266</v>
          </cell>
          <cell r="D2474">
            <v>576.29656982421875</v>
          </cell>
          <cell r="E2474">
            <v>140.0681457519531</v>
          </cell>
          <cell r="F2474">
            <v>151.80809020996091</v>
          </cell>
        </row>
        <row r="2475">
          <cell r="A2475">
            <v>45747</v>
          </cell>
          <cell r="B2475">
            <v>267.51480102539063</v>
          </cell>
          <cell r="C2475">
            <v>22.70999908447266</v>
          </cell>
          <cell r="D2475">
            <v>575.9168701171875</v>
          </cell>
          <cell r="E2475">
            <v>139.01417541503909</v>
          </cell>
          <cell r="F2475">
            <v>152.6927795410156</v>
          </cell>
        </row>
        <row r="2476">
          <cell r="A2476">
            <v>45748</v>
          </cell>
          <cell r="B2476">
            <v>269.3489990234375</v>
          </cell>
          <cell r="C2476">
            <v>22.04999923706055</v>
          </cell>
          <cell r="D2476">
            <v>585.5494384765625</v>
          </cell>
          <cell r="E2476">
            <v>141.1320495605469</v>
          </cell>
          <cell r="F2476">
            <v>152.13612365722659</v>
          </cell>
        </row>
        <row r="2477">
          <cell r="A2477">
            <v>45749</v>
          </cell>
          <cell r="B2477">
            <v>270.68478393554688</v>
          </cell>
          <cell r="C2477">
            <v>21.979999542236332</v>
          </cell>
          <cell r="D2477">
            <v>583.48101806640625</v>
          </cell>
          <cell r="E2477">
            <v>145.02973937988281</v>
          </cell>
          <cell r="F2477">
            <v>153.15997314453119</v>
          </cell>
        </row>
        <row r="2478">
          <cell r="A2478">
            <v>45750</v>
          </cell>
          <cell r="B2478">
            <v>254.42613220214841</v>
          </cell>
          <cell r="C2478">
            <v>22.430000305175781</v>
          </cell>
          <cell r="D2478">
            <v>531.21124267578125</v>
          </cell>
          <cell r="E2478">
            <v>136.44886779785159</v>
          </cell>
          <cell r="F2478">
            <v>138.58750915527341</v>
          </cell>
        </row>
        <row r="2479">
          <cell r="A2479">
            <v>45751</v>
          </cell>
          <cell r="B2479">
            <v>240.001708984375</v>
          </cell>
          <cell r="C2479">
            <v>19.85000038146973</v>
          </cell>
          <cell r="D2479">
            <v>504.34194946289063</v>
          </cell>
          <cell r="E2479">
            <v>127.5398712158203</v>
          </cell>
          <cell r="F2479">
            <v>126.6989212036133</v>
          </cell>
        </row>
        <row r="2480">
          <cell r="A2480">
            <v>45754</v>
          </cell>
          <cell r="B2480">
            <v>243.44085693359381</v>
          </cell>
          <cell r="C2480">
            <v>19.569999694824219</v>
          </cell>
          <cell r="D2480">
            <v>515.85308837890625</v>
          </cell>
          <cell r="E2480">
            <v>126.4361877441406</v>
          </cell>
          <cell r="F2480">
            <v>128.94541931152341</v>
          </cell>
        </row>
        <row r="2481">
          <cell r="A2481">
            <v>45755</v>
          </cell>
          <cell r="B2481">
            <v>243.2215576171875</v>
          </cell>
          <cell r="C2481">
            <v>18.129999160766602</v>
          </cell>
          <cell r="D2481">
            <v>510.05755615234381</v>
          </cell>
          <cell r="E2481">
            <v>123.7913284301758</v>
          </cell>
          <cell r="F2481">
            <v>123.915641784668</v>
          </cell>
        </row>
        <row r="2482">
          <cell r="A2482">
            <v>45756</v>
          </cell>
          <cell r="B2482">
            <v>264.33486938476563</v>
          </cell>
          <cell r="C2482">
            <v>21.530000686645511</v>
          </cell>
          <cell r="D2482">
            <v>585.31964111328125</v>
          </cell>
          <cell r="E2482">
            <v>138.8948669433594</v>
          </cell>
          <cell r="F2482">
            <v>142.73260498046881</v>
          </cell>
        </row>
        <row r="2483">
          <cell r="A2483">
            <v>45757</v>
          </cell>
          <cell r="B2483">
            <v>254.71607971191409</v>
          </cell>
          <cell r="C2483">
            <v>19.879999160766602</v>
          </cell>
          <cell r="D2483">
            <v>545.8699951171875</v>
          </cell>
          <cell r="E2483">
            <v>133.0672607421875</v>
          </cell>
          <cell r="F2483">
            <v>133.59747314453119</v>
          </cell>
        </row>
        <row r="2484">
          <cell r="A2484">
            <v>45758</v>
          </cell>
          <cell r="B2484">
            <v>254.5962829589844</v>
          </cell>
          <cell r="C2484">
            <v>19.739999771118161</v>
          </cell>
          <cell r="D2484">
            <v>543.152099609375</v>
          </cell>
          <cell r="E2484">
            <v>132.06938171386719</v>
          </cell>
          <cell r="F2484">
            <v>138.41851806640619</v>
          </cell>
        </row>
        <row r="2485">
          <cell r="A2485">
            <v>45761</v>
          </cell>
          <cell r="B2485">
            <v>254.14698791503909</v>
          </cell>
          <cell r="C2485">
            <v>20.309999465942379</v>
          </cell>
          <cell r="D2485">
            <v>531.07135009765625</v>
          </cell>
          <cell r="E2485">
            <v>134.35450744628909</v>
          </cell>
          <cell r="F2485">
            <v>138.35888671875</v>
          </cell>
        </row>
        <row r="2486">
          <cell r="A2486">
            <v>45762</v>
          </cell>
          <cell r="B2486">
            <v>254.52638244628909</v>
          </cell>
          <cell r="C2486">
            <v>19.85000038146973</v>
          </cell>
          <cell r="D2486">
            <v>521.11907958984375</v>
          </cell>
          <cell r="E2486">
            <v>133.656005859375</v>
          </cell>
          <cell r="F2486">
            <v>137.77239990234381</v>
          </cell>
        </row>
        <row r="2487">
          <cell r="A2487">
            <v>45763</v>
          </cell>
          <cell r="B2487">
            <v>249.44444274902341</v>
          </cell>
          <cell r="C2487">
            <v>19.229999542236332</v>
          </cell>
          <cell r="D2487">
            <v>501.92379760742188</v>
          </cell>
          <cell r="E2487">
            <v>129.48484802246091</v>
          </cell>
          <cell r="F2487">
            <v>134.92948913574219</v>
          </cell>
        </row>
        <row r="2488">
          <cell r="A2488">
            <v>45764</v>
          </cell>
          <cell r="B2488">
            <v>246.8685302734375</v>
          </cell>
          <cell r="C2488">
            <v>18.930000305175781</v>
          </cell>
          <cell r="D2488">
            <v>501.09445190429688</v>
          </cell>
          <cell r="E2488">
            <v>128.34727478027341</v>
          </cell>
          <cell r="F2488">
            <v>135.843994140625</v>
          </cell>
        </row>
        <row r="2489">
          <cell r="A2489">
            <v>45768</v>
          </cell>
          <cell r="B2489">
            <v>235.88594055175781</v>
          </cell>
          <cell r="C2489">
            <v>18.840000152587891</v>
          </cell>
          <cell r="D2489">
            <v>484.28738403320313</v>
          </cell>
          <cell r="E2489">
            <v>122.5595779418945</v>
          </cell>
          <cell r="F2489">
            <v>135.32708740234381</v>
          </cell>
        </row>
        <row r="2490">
          <cell r="A2490">
            <v>45769</v>
          </cell>
          <cell r="B2490">
            <v>243.00465393066409</v>
          </cell>
          <cell r="C2490">
            <v>19.510000228881839</v>
          </cell>
          <cell r="D2490">
            <v>499.89535522460938</v>
          </cell>
          <cell r="E2490">
            <v>126.97019958496089</v>
          </cell>
          <cell r="F2490">
            <v>137.91157531738281</v>
          </cell>
        </row>
        <row r="2491">
          <cell r="A2491">
            <v>45770</v>
          </cell>
          <cell r="B2491">
            <v>250.08343505859381</v>
          </cell>
          <cell r="C2491">
            <v>20.590000152587891</v>
          </cell>
          <cell r="D2491">
            <v>519.8699951171875</v>
          </cell>
          <cell r="E2491">
            <v>131.12138366699219</v>
          </cell>
          <cell r="F2491">
            <v>139.6213073730469</v>
          </cell>
        </row>
        <row r="2492">
          <cell r="A2492">
            <v>45771</v>
          </cell>
          <cell r="B2492">
            <v>264.28094482421881</v>
          </cell>
          <cell r="C2492">
            <v>21.489999771118161</v>
          </cell>
          <cell r="D2492">
            <v>532.7401123046875</v>
          </cell>
          <cell r="E2492">
            <v>137.2184143066406</v>
          </cell>
          <cell r="F2492">
            <v>146.33099365234381</v>
          </cell>
        </row>
        <row r="2493">
          <cell r="A2493">
            <v>45772</v>
          </cell>
          <cell r="B2493">
            <v>267.42593383789063</v>
          </cell>
          <cell r="C2493">
            <v>20.04999923706055</v>
          </cell>
          <cell r="D2493">
            <v>546.8492431640625</v>
          </cell>
          <cell r="E2493">
            <v>138.19635009765619</v>
          </cell>
          <cell r="F2493">
            <v>147.67292785644531</v>
          </cell>
        </row>
        <row r="2494">
          <cell r="A2494">
            <v>45775</v>
          </cell>
          <cell r="B2494">
            <v>265.21945190429688</v>
          </cell>
          <cell r="C2494">
            <v>20.510000228881839</v>
          </cell>
          <cell r="D2494">
            <v>549.31732177734375</v>
          </cell>
          <cell r="E2494">
            <v>139.84284973144531</v>
          </cell>
          <cell r="F2494">
            <v>146.73854064941409</v>
          </cell>
        </row>
        <row r="2495">
          <cell r="A2495">
            <v>45776</v>
          </cell>
          <cell r="B2495">
            <v>267.33609008789063</v>
          </cell>
          <cell r="C2495">
            <v>20.340000152587891</v>
          </cell>
          <cell r="D2495">
            <v>554.01373291015625</v>
          </cell>
          <cell r="E2495">
            <v>140.49147033691409</v>
          </cell>
          <cell r="F2495">
            <v>146.0029602050781</v>
          </cell>
        </row>
        <row r="2496">
          <cell r="A2496">
            <v>45777</v>
          </cell>
          <cell r="B2496">
            <v>268.28457641601563</v>
          </cell>
          <cell r="C2496">
            <v>20.10000038146973</v>
          </cell>
          <cell r="D2496">
            <v>548.577880859375</v>
          </cell>
          <cell r="E2496">
            <v>140.42161560058591</v>
          </cell>
          <cell r="F2496">
            <v>147.57353210449219</v>
          </cell>
        </row>
        <row r="2497">
          <cell r="A2497">
            <v>45778</v>
          </cell>
          <cell r="B2497">
            <v>268.903564453125</v>
          </cell>
          <cell r="C2497">
            <v>19.979999542236332</v>
          </cell>
          <cell r="D2497">
            <v>571.77008056640625</v>
          </cell>
          <cell r="E2497">
            <v>145.1815185546875</v>
          </cell>
          <cell r="F2497">
            <v>134.40264892578119</v>
          </cell>
        </row>
        <row r="2498">
          <cell r="A2498">
            <v>45779</v>
          </cell>
          <cell r="B2498">
            <v>274.64447021484381</v>
          </cell>
          <cell r="C2498">
            <v>20.620000839233398</v>
          </cell>
          <cell r="D2498">
            <v>596.56103515625</v>
          </cell>
          <cell r="E2498">
            <v>150.41038513183591</v>
          </cell>
          <cell r="F2498">
            <v>138.97517395019531</v>
          </cell>
        </row>
        <row r="2499">
          <cell r="A2499">
            <v>45782</v>
          </cell>
          <cell r="B2499">
            <v>272.1983642578125</v>
          </cell>
          <cell r="C2499">
            <v>20.270000457763668</v>
          </cell>
          <cell r="D2499">
            <v>598.80926513671875</v>
          </cell>
          <cell r="E2499">
            <v>148.97344970703119</v>
          </cell>
          <cell r="F2499">
            <v>138.6073913574219</v>
          </cell>
        </row>
        <row r="2500">
          <cell r="A2500">
            <v>45783</v>
          </cell>
          <cell r="B2500">
            <v>272.92718505859381</v>
          </cell>
          <cell r="C2500">
            <v>19.940000534057621</v>
          </cell>
          <cell r="D2500">
            <v>586.85845947265625</v>
          </cell>
          <cell r="E2500">
            <v>147.3868103027344</v>
          </cell>
          <cell r="F2500">
            <v>139.06463623046881</v>
          </cell>
        </row>
        <row r="2501">
          <cell r="A2501">
            <v>45784</v>
          </cell>
          <cell r="B2501">
            <v>277.78952026367188</v>
          </cell>
          <cell r="C2501">
            <v>20.309999465942379</v>
          </cell>
          <cell r="D2501">
            <v>596.35113525390625</v>
          </cell>
          <cell r="E2501">
            <v>149.05326843261719</v>
          </cell>
          <cell r="F2501">
            <v>143.43836975097659</v>
          </cell>
        </row>
        <row r="2502">
          <cell r="A2502">
            <v>45785</v>
          </cell>
          <cell r="B2502">
            <v>279.29708862304688</v>
          </cell>
          <cell r="C2502">
            <v>21</v>
          </cell>
          <cell r="D2502">
            <v>597.55023193359375</v>
          </cell>
          <cell r="E2502">
            <v>149.98130798339841</v>
          </cell>
          <cell r="F2502">
            <v>144.23359680175781</v>
          </cell>
        </row>
        <row r="2503">
          <cell r="A2503">
            <v>45786</v>
          </cell>
          <cell r="B2503">
            <v>274.98397827148438</v>
          </cell>
          <cell r="C2503">
            <v>21.420000076293949</v>
          </cell>
          <cell r="D2503">
            <v>592.03448486328125</v>
          </cell>
          <cell r="E2503">
            <v>150.02122497558591</v>
          </cell>
          <cell r="F2503">
            <v>144.3131103515625</v>
          </cell>
        </row>
        <row r="2504">
          <cell r="A2504">
            <v>45789</v>
          </cell>
          <cell r="B2504">
            <v>288.36273193359381</v>
          </cell>
          <cell r="C2504">
            <v>22.180000305175781</v>
          </cell>
          <cell r="D2504">
            <v>638.9383544921875</v>
          </cell>
          <cell r="E2504">
            <v>156.88664245605469</v>
          </cell>
          <cell r="F2504">
            <v>151.211669921875</v>
          </cell>
        </row>
        <row r="2505">
          <cell r="A2505">
            <v>45790</v>
          </cell>
          <cell r="B2505">
            <v>288.71218872070313</v>
          </cell>
          <cell r="C2505">
            <v>22.559999465942379</v>
          </cell>
          <cell r="D2505">
            <v>655.525634765625</v>
          </cell>
          <cell r="E2505">
            <v>161.9259338378906</v>
          </cell>
          <cell r="F2505">
            <v>150.43632507324219</v>
          </cell>
        </row>
        <row r="2506">
          <cell r="A2506">
            <v>45791</v>
          </cell>
          <cell r="B2506">
            <v>290.27969360351563</v>
          </cell>
          <cell r="C2506">
            <v>21.520000457763668</v>
          </cell>
          <cell r="D2506">
            <v>658.85302734375</v>
          </cell>
          <cell r="E2506">
            <v>162.60447692871091</v>
          </cell>
          <cell r="F2506">
            <v>152.0665283203125</v>
          </cell>
        </row>
        <row r="2507">
          <cell r="A2507">
            <v>45792</v>
          </cell>
          <cell r="B2507">
            <v>290.2996826171875</v>
          </cell>
          <cell r="C2507">
            <v>21.54999923706055</v>
          </cell>
          <cell r="D2507">
            <v>643.38494873046875</v>
          </cell>
          <cell r="E2507">
            <v>159.06201171875</v>
          </cell>
          <cell r="F2507">
            <v>151.69874572753909</v>
          </cell>
        </row>
        <row r="2508">
          <cell r="A2508">
            <v>45793</v>
          </cell>
          <cell r="B2508">
            <v>290.68902587890619</v>
          </cell>
          <cell r="C2508">
            <v>21.659999847412109</v>
          </cell>
          <cell r="D2508">
            <v>639.84771728515625</v>
          </cell>
          <cell r="E2508">
            <v>160.14970397949219</v>
          </cell>
          <cell r="F2508">
            <v>151.58940124511719</v>
          </cell>
        </row>
        <row r="2509">
          <cell r="A2509">
            <v>45796</v>
          </cell>
          <cell r="B2509">
            <v>287.17462158203119</v>
          </cell>
          <cell r="C2509">
            <v>21.379999160766602</v>
          </cell>
          <cell r="D2509">
            <v>639.9376220703125</v>
          </cell>
          <cell r="E2509">
            <v>159.30149841308591</v>
          </cell>
          <cell r="F2509">
            <v>152.7822265625</v>
          </cell>
        </row>
        <row r="2510">
          <cell r="A2510">
            <v>45797</v>
          </cell>
          <cell r="B2510">
            <v>287.60394287109381</v>
          </cell>
          <cell r="C2510">
            <v>21.270000457763668</v>
          </cell>
          <cell r="D2510">
            <v>636.61016845703125</v>
          </cell>
          <cell r="E2510">
            <v>159.97007751464841</v>
          </cell>
          <cell r="F2510">
            <v>152.90153503417969</v>
          </cell>
        </row>
        <row r="2511">
          <cell r="A2511">
            <v>45798</v>
          </cell>
          <cell r="B2511">
            <v>281.83309936523438</v>
          </cell>
          <cell r="C2511">
            <v>20.690000534057621</v>
          </cell>
          <cell r="D2511">
            <v>635.01141357421875</v>
          </cell>
          <cell r="E2511">
            <v>156.8467102050781</v>
          </cell>
          <cell r="F2511">
            <v>150.40650939941409</v>
          </cell>
        </row>
        <row r="2512">
          <cell r="A2512">
            <v>45799</v>
          </cell>
          <cell r="B2512">
            <v>282.97128295898438</v>
          </cell>
          <cell r="C2512">
            <v>20.54999923706055</v>
          </cell>
          <cell r="D2512">
            <v>636.08056640625</v>
          </cell>
          <cell r="E2512">
            <v>156.9764404296875</v>
          </cell>
          <cell r="F2512">
            <v>146.49003601074219</v>
          </cell>
        </row>
        <row r="2513">
          <cell r="A2513">
            <v>45800</v>
          </cell>
          <cell r="B2513">
            <v>272.69757080078119</v>
          </cell>
          <cell r="C2513">
            <v>20.04999923706055</v>
          </cell>
          <cell r="D2513">
            <v>626.577880859375</v>
          </cell>
          <cell r="E2513">
            <v>155.6392822265625</v>
          </cell>
          <cell r="F2513">
            <v>144.51191711425781</v>
          </cell>
        </row>
        <row r="2514">
          <cell r="A2514">
            <v>45804</v>
          </cell>
          <cell r="B2514">
            <v>276.75115966796881</v>
          </cell>
          <cell r="C2514">
            <v>20.54999923706055</v>
          </cell>
          <cell r="D2514">
            <v>641.826171875</v>
          </cell>
          <cell r="E2514">
            <v>161.56669616699219</v>
          </cell>
          <cell r="F2514">
            <v>147.74250793457031</v>
          </cell>
        </row>
        <row r="2515">
          <cell r="A2515">
            <v>45805</v>
          </cell>
          <cell r="B2515">
            <v>275.59298706054688</v>
          </cell>
          <cell r="C2515">
            <v>20.370000839233398</v>
          </cell>
          <cell r="D2515">
            <v>643.085205078125</v>
          </cell>
          <cell r="E2515">
            <v>163.50257873535159</v>
          </cell>
          <cell r="F2515">
            <v>146.71867370605469</v>
          </cell>
        </row>
        <row r="2516">
          <cell r="A2516">
            <v>45806</v>
          </cell>
          <cell r="B2516">
            <v>266.49740600585938</v>
          </cell>
          <cell r="C2516">
            <v>20.25</v>
          </cell>
          <cell r="D2516">
            <v>644.5540771484375</v>
          </cell>
          <cell r="E2516">
            <v>162.55458068847659</v>
          </cell>
          <cell r="F2516">
            <v>147.45423889160159</v>
          </cell>
        </row>
        <row r="2517">
          <cell r="A2517">
            <v>45807</v>
          </cell>
          <cell r="B2517">
            <v>264.94985961914063</v>
          </cell>
          <cell r="C2517">
            <v>19.54999923706055</v>
          </cell>
          <cell r="D2517">
            <v>646.9921875</v>
          </cell>
          <cell r="E2517">
            <v>165.17901611328119</v>
          </cell>
          <cell r="F2517">
            <v>144.33299255371091</v>
          </cell>
        </row>
        <row r="2518">
          <cell r="A2518">
            <v>45810</v>
          </cell>
          <cell r="B2518">
            <v>261.20578002929688</v>
          </cell>
          <cell r="C2518">
            <v>19.739999771118161</v>
          </cell>
          <cell r="D2518">
            <v>670.38421630859375</v>
          </cell>
          <cell r="E2518">
            <v>166.21681213378909</v>
          </cell>
          <cell r="F2518">
            <v>145.75445556640619</v>
          </cell>
        </row>
        <row r="2519">
          <cell r="A2519">
            <v>45811</v>
          </cell>
          <cell r="B2519">
            <v>264.05130004882813</v>
          </cell>
          <cell r="C2519">
            <v>20.29000091552734</v>
          </cell>
          <cell r="D2519">
            <v>666.3372802734375</v>
          </cell>
          <cell r="E2519">
            <v>168.78135681152341</v>
          </cell>
          <cell r="F2519">
            <v>148.0506591796875</v>
          </cell>
        </row>
        <row r="2520">
          <cell r="A2520">
            <v>45812</v>
          </cell>
          <cell r="B2520">
            <v>262.75335693359381</v>
          </cell>
          <cell r="C2520">
            <v>20.25</v>
          </cell>
          <cell r="D2520">
            <v>687.42108154296875</v>
          </cell>
          <cell r="E2520">
            <v>167.74357604980469</v>
          </cell>
          <cell r="F2520">
            <v>148.1600036621094</v>
          </cell>
        </row>
        <row r="2521">
          <cell r="A2521">
            <v>45813</v>
          </cell>
          <cell r="B2521">
            <v>266.71707153320313</v>
          </cell>
          <cell r="C2521">
            <v>19.989999771118161</v>
          </cell>
          <cell r="D2521">
            <v>684.0936279296875</v>
          </cell>
          <cell r="E2521">
            <v>170.77711486816409</v>
          </cell>
          <cell r="F2521">
            <v>147.55999755859381</v>
          </cell>
        </row>
        <row r="2522">
          <cell r="A2522">
            <v>45814</v>
          </cell>
          <cell r="B2522">
            <v>274.07540893554688</v>
          </cell>
          <cell r="C2522">
            <v>20.059999465942379</v>
          </cell>
          <cell r="D2522">
            <v>697.173583984375</v>
          </cell>
          <cell r="E2522">
            <v>173.65101623535159</v>
          </cell>
          <cell r="F2522">
            <v>149.24000549316409</v>
          </cell>
        </row>
        <row r="2523">
          <cell r="A2523">
            <v>45817</v>
          </cell>
          <cell r="B2523">
            <v>271.8189697265625</v>
          </cell>
          <cell r="C2523">
            <v>20.479999542236332</v>
          </cell>
          <cell r="D2523">
            <v>693.5263671875</v>
          </cell>
          <cell r="E2523">
            <v>176.77436828613281</v>
          </cell>
          <cell r="F2523">
            <v>155.4100036621094</v>
          </cell>
        </row>
        <row r="2524">
          <cell r="A2524">
            <v>45818</v>
          </cell>
          <cell r="B2524">
            <v>267.79534912109381</v>
          </cell>
          <cell r="C2524">
            <v>22.079999923706051</v>
          </cell>
          <cell r="D2524">
            <v>701.8599853515625</v>
          </cell>
          <cell r="E2524">
            <v>177.1036682128906</v>
          </cell>
          <cell r="F2524">
            <v>159.1300048828125</v>
          </cell>
        </row>
        <row r="2525">
          <cell r="A2525">
            <v>45819</v>
          </cell>
          <cell r="B2525">
            <v>265.489013671875</v>
          </cell>
          <cell r="C2525">
            <v>20.680000305175781</v>
          </cell>
          <cell r="D2525">
            <v>693.6063232421875</v>
          </cell>
          <cell r="E2525">
            <v>176.0060119628906</v>
          </cell>
          <cell r="F2525">
            <v>159.47999572753909</v>
          </cell>
        </row>
        <row r="2526">
          <cell r="A2526">
            <v>45820</v>
          </cell>
          <cell r="B2526">
            <v>266.4874267578125</v>
          </cell>
          <cell r="C2526">
            <v>20.770000457763668</v>
          </cell>
          <cell r="D2526">
            <v>692.826904296875</v>
          </cell>
          <cell r="E2526">
            <v>199.43621826171881</v>
          </cell>
          <cell r="F2526">
            <v>158.69999694824219</v>
          </cell>
        </row>
        <row r="2527">
          <cell r="A2527">
            <v>45821</v>
          </cell>
          <cell r="B2527">
            <v>257.99087524414063</v>
          </cell>
          <cell r="C2527">
            <v>20.139999389648441</v>
          </cell>
          <cell r="D2527">
            <v>682.344970703125</v>
          </cell>
          <cell r="E2527">
            <v>214.76365661621091</v>
          </cell>
          <cell r="F2527">
            <v>154.7200012207031</v>
          </cell>
        </row>
        <row r="2528">
          <cell r="A2528">
            <v>45824</v>
          </cell>
          <cell r="B2528">
            <v>263.46221923828119</v>
          </cell>
          <cell r="C2528">
            <v>20.739999771118161</v>
          </cell>
          <cell r="D2528">
            <v>702.1199951171875</v>
          </cell>
          <cell r="E2528">
            <v>210.65238952636719</v>
          </cell>
          <cell r="F2528">
            <v>156.8699951171875</v>
          </cell>
        </row>
        <row r="2529">
          <cell r="A2529">
            <v>45825</v>
          </cell>
          <cell r="B2529">
            <v>262.343994140625</v>
          </cell>
          <cell r="C2529">
            <v>20.79999923706055</v>
          </cell>
          <cell r="D2529">
            <v>697.22998046875</v>
          </cell>
          <cell r="E2529">
            <v>207.73857116699219</v>
          </cell>
          <cell r="F2529">
            <v>154.46000671386719</v>
          </cell>
        </row>
        <row r="2530">
          <cell r="A2530">
            <v>45826</v>
          </cell>
          <cell r="B2530">
            <v>259.5</v>
          </cell>
          <cell r="C2530">
            <v>21.489999771118161</v>
          </cell>
          <cell r="D2530">
            <v>695.77001953125</v>
          </cell>
          <cell r="E2530">
            <v>210.42286682128909</v>
          </cell>
          <cell r="F2530">
            <v>153.6300048828125</v>
          </cell>
        </row>
        <row r="2531">
          <cell r="A2531">
            <v>45828</v>
          </cell>
          <cell r="B2531">
            <v>260.6300048828125</v>
          </cell>
          <cell r="C2531">
            <v>21.079999923706051</v>
          </cell>
          <cell r="D2531">
            <v>682.3499755859375</v>
          </cell>
          <cell r="E2531">
            <v>204.7349548339844</v>
          </cell>
          <cell r="F2531">
            <v>151.32000732421881</v>
          </cell>
        </row>
        <row r="2532">
          <cell r="A2532">
            <v>45831</v>
          </cell>
          <cell r="B2532">
            <v>263.41000366210938</v>
          </cell>
          <cell r="C2532">
            <v>21.190000534057621</v>
          </cell>
          <cell r="D2532">
            <v>698.530029296875</v>
          </cell>
          <cell r="E2532">
            <v>206.60099792480469</v>
          </cell>
          <cell r="F2532">
            <v>153.13999938964841</v>
          </cell>
        </row>
        <row r="2533">
          <cell r="A2533">
            <v>45832</v>
          </cell>
          <cell r="B2533">
            <v>271.17001342773438</v>
          </cell>
          <cell r="C2533">
            <v>22.54999923706055</v>
          </cell>
          <cell r="D2533">
            <v>712.20001220703125</v>
          </cell>
          <cell r="E2533">
            <v>214.81355285644531</v>
          </cell>
          <cell r="F2533">
            <v>155.71000671386719</v>
          </cell>
        </row>
        <row r="2534">
          <cell r="A2534">
            <v>45833</v>
          </cell>
          <cell r="B2534">
            <v>267.760009765625</v>
          </cell>
          <cell r="C2534">
            <v>22.20000076293945</v>
          </cell>
          <cell r="D2534">
            <v>708.67999267578125</v>
          </cell>
          <cell r="E2534">
            <v>210.273193359375</v>
          </cell>
          <cell r="F2534">
            <v>155.92999267578119</v>
          </cell>
        </row>
        <row r="2535">
          <cell r="A2535">
            <v>45834</v>
          </cell>
          <cell r="B2535">
            <v>270.739990234375</v>
          </cell>
          <cell r="C2535">
            <v>22.5</v>
          </cell>
          <cell r="D2535">
            <v>726.09002685546875</v>
          </cell>
          <cell r="E2535">
            <v>212.3687438964844</v>
          </cell>
          <cell r="F2535">
            <v>158.19000244140619</v>
          </cell>
        </row>
        <row r="2536">
          <cell r="A2536">
            <v>45835</v>
          </cell>
          <cell r="B2536">
            <v>273.42001342773438</v>
          </cell>
          <cell r="C2536">
            <v>22.690000534057621</v>
          </cell>
          <cell r="D2536">
            <v>733.6300048828125</v>
          </cell>
          <cell r="E2536">
            <v>209.7942199707031</v>
          </cell>
          <cell r="F2536">
            <v>158.53999328613281</v>
          </cell>
        </row>
        <row r="2537">
          <cell r="A2537">
            <v>45838</v>
          </cell>
          <cell r="B2537">
            <v>272.69000244140619</v>
          </cell>
          <cell r="C2537">
            <v>22.39999961853027</v>
          </cell>
          <cell r="D2537">
            <v>738.09002685546875</v>
          </cell>
          <cell r="E2537">
            <v>218.16642761230469</v>
          </cell>
          <cell r="F2537">
            <v>159.25999450683591</v>
          </cell>
        </row>
        <row r="2538">
          <cell r="A2538">
            <v>45839</v>
          </cell>
          <cell r="B2538">
            <v>271.91000366210938</v>
          </cell>
          <cell r="C2538">
            <v>22.85000038146973</v>
          </cell>
          <cell r="D2538">
            <v>719.219970703125</v>
          </cell>
          <cell r="E2538">
            <v>218.4957275390625</v>
          </cell>
          <cell r="F2538">
            <v>159.3999938964844</v>
          </cell>
        </row>
        <row r="2539">
          <cell r="A2539">
            <v>45840</v>
          </cell>
          <cell r="B2539">
            <v>269.20999145507813</v>
          </cell>
          <cell r="C2539">
            <v>21.879999160766602</v>
          </cell>
          <cell r="D2539">
            <v>713.57000732421875</v>
          </cell>
          <cell r="E2539">
            <v>229.49235534667969</v>
          </cell>
          <cell r="F2539">
            <v>162.32000732421881</v>
          </cell>
        </row>
        <row r="2540">
          <cell r="A2540">
            <v>45841</v>
          </cell>
          <cell r="B2540">
            <v>272.14999389648438</v>
          </cell>
          <cell r="C2540">
            <v>22.489999771118161</v>
          </cell>
          <cell r="D2540">
            <v>719.010009765625</v>
          </cell>
          <cell r="E2540">
            <v>236.8168029785156</v>
          </cell>
          <cell r="F2540">
            <v>162.21000671386719</v>
          </cell>
        </row>
        <row r="2541">
          <cell r="A2541">
            <v>45845</v>
          </cell>
          <cell r="B2541">
            <v>269.79998779296881</v>
          </cell>
          <cell r="C2541">
            <v>22</v>
          </cell>
          <cell r="D2541">
            <v>718.3499755859375</v>
          </cell>
          <cell r="E2541">
            <v>231.76751708984381</v>
          </cell>
          <cell r="F2541">
            <v>158.0899963378906</v>
          </cell>
        </row>
        <row r="2542">
          <cell r="A2542">
            <v>45846</v>
          </cell>
          <cell r="B2542">
            <v>273.64999389648438</v>
          </cell>
          <cell r="C2542">
            <v>23.590000152587891</v>
          </cell>
          <cell r="D2542">
            <v>720.66998291015625</v>
          </cell>
          <cell r="E2542">
            <v>234.0027770996094</v>
          </cell>
          <cell r="F2542">
            <v>159.44999694824219</v>
          </cell>
        </row>
        <row r="2543">
          <cell r="A2543">
            <v>45847</v>
          </cell>
          <cell r="B2543">
            <v>270.92001342773438</v>
          </cell>
          <cell r="C2543">
            <v>23.440000534057621</v>
          </cell>
          <cell r="D2543">
            <v>732.780029296875</v>
          </cell>
          <cell r="E2543">
            <v>235.30999755859381</v>
          </cell>
          <cell r="F2543">
            <v>159.3500061035156</v>
          </cell>
        </row>
        <row r="2544">
          <cell r="A2544">
            <v>45848</v>
          </cell>
          <cell r="B2544">
            <v>263.97000122070313</v>
          </cell>
          <cell r="C2544">
            <v>23.819999694824219</v>
          </cell>
          <cell r="D2544">
            <v>727.239990234375</v>
          </cell>
          <cell r="E2544">
            <v>235</v>
          </cell>
          <cell r="F2544">
            <v>159.0899963378906</v>
          </cell>
        </row>
        <row r="2545">
          <cell r="A2545">
            <v>45849</v>
          </cell>
          <cell r="B2545">
            <v>258.07000732421881</v>
          </cell>
          <cell r="C2545">
            <v>23.430000305175781</v>
          </cell>
          <cell r="D2545">
            <v>717.510009765625</v>
          </cell>
          <cell r="E2545">
            <v>230.55999755859381</v>
          </cell>
          <cell r="F2545">
            <v>157.46000671386719</v>
          </cell>
        </row>
        <row r="2546">
          <cell r="A2546">
            <v>45852</v>
          </cell>
          <cell r="B2546">
            <v>259.67999267578119</v>
          </cell>
          <cell r="C2546">
            <v>23.29999923706055</v>
          </cell>
          <cell r="D2546">
            <v>720.91998291015625</v>
          </cell>
          <cell r="E2546">
            <v>229.2799987792969</v>
          </cell>
          <cell r="F2546">
            <v>154.28999328613281</v>
          </cell>
        </row>
        <row r="2547">
          <cell r="A2547">
            <v>45853</v>
          </cell>
          <cell r="B2547">
            <v>257.57998657226563</v>
          </cell>
          <cell r="C2547">
            <v>22.920000076293949</v>
          </cell>
          <cell r="D2547">
            <v>710.3900146484375</v>
          </cell>
          <cell r="E2547">
            <v>234.96000671386719</v>
          </cell>
          <cell r="F2547">
            <v>154.30000305175781</v>
          </cell>
        </row>
        <row r="2548">
          <cell r="A2548">
            <v>45854</v>
          </cell>
          <cell r="B2548">
            <v>257.95001220703119</v>
          </cell>
          <cell r="C2548">
            <v>22.690000534057621</v>
          </cell>
          <cell r="D2548">
            <v>702.90997314453125</v>
          </cell>
          <cell r="E2548">
            <v>241.30000305175781</v>
          </cell>
          <cell r="F2548">
            <v>154.07000732421881</v>
          </cell>
        </row>
        <row r="2549">
          <cell r="A2549">
            <v>45855</v>
          </cell>
          <cell r="B2549">
            <v>259.8800048828125</v>
          </cell>
          <cell r="C2549">
            <v>22.79999923706055</v>
          </cell>
          <cell r="D2549">
            <v>701.40997314453125</v>
          </cell>
          <cell r="E2549">
            <v>248.75</v>
          </cell>
          <cell r="F2549">
            <v>152.61000061035159</v>
          </cell>
        </row>
        <row r="2550">
          <cell r="A2550">
            <v>45856</v>
          </cell>
          <cell r="B2550">
            <v>262.3800048828125</v>
          </cell>
          <cell r="C2550">
            <v>23.10000038146973</v>
          </cell>
          <cell r="D2550">
            <v>704.280029296875</v>
          </cell>
          <cell r="E2550">
            <v>245.44999694824219</v>
          </cell>
          <cell r="F2550">
            <v>154.80000305175781</v>
          </cell>
        </row>
        <row r="2551">
          <cell r="A2551">
            <v>45859</v>
          </cell>
          <cell r="B2551">
            <v>262.27999877929688</v>
          </cell>
          <cell r="C2551">
            <v>23.260000228881839</v>
          </cell>
          <cell r="D2551">
            <v>712.969970703125</v>
          </cell>
          <cell r="E2551">
            <v>243.53999328613281</v>
          </cell>
          <cell r="F2551">
            <v>158.9700012207031</v>
          </cell>
        </row>
        <row r="2552">
          <cell r="A2552">
            <v>45860</v>
          </cell>
          <cell r="B2552">
            <v>263.58999633789063</v>
          </cell>
          <cell r="C2552">
            <v>23.239999771118161</v>
          </cell>
          <cell r="D2552">
            <v>704.80999755859375</v>
          </cell>
          <cell r="E2552">
            <v>238.11000061035159</v>
          </cell>
          <cell r="F2552">
            <v>157.99000549316409</v>
          </cell>
        </row>
        <row r="2553">
          <cell r="A2553">
            <v>45861</v>
          </cell>
          <cell r="B2553">
            <v>267.22000122070313</v>
          </cell>
          <cell r="C2553">
            <v>23.489999771118161</v>
          </cell>
          <cell r="D2553">
            <v>713.58001708984375</v>
          </cell>
          <cell r="E2553">
            <v>241.8999938964844</v>
          </cell>
          <cell r="F2553">
            <v>159.8800048828125</v>
          </cell>
        </row>
        <row r="2554">
          <cell r="A2554">
            <v>45862</v>
          </cell>
          <cell r="B2554">
            <v>267.70001220703119</v>
          </cell>
          <cell r="C2554">
            <v>22.629999160766602</v>
          </cell>
          <cell r="D2554">
            <v>714.79998779296875</v>
          </cell>
          <cell r="E2554">
            <v>242.83000183105469</v>
          </cell>
          <cell r="F2554">
            <v>158.8399963378906</v>
          </cell>
        </row>
        <row r="2555">
          <cell r="A2555">
            <v>45863</v>
          </cell>
          <cell r="B2555">
            <v>269.1099853515625</v>
          </cell>
          <cell r="C2555">
            <v>20.70000076293945</v>
          </cell>
          <cell r="D2555">
            <v>712.67999267578125</v>
          </cell>
          <cell r="E2555">
            <v>245.1199951171875</v>
          </cell>
          <cell r="F2555">
            <v>158.3999938964844</v>
          </cell>
        </row>
        <row r="2556">
          <cell r="A2556">
            <v>45866</v>
          </cell>
          <cell r="B2556">
            <v>270.25</v>
          </cell>
          <cell r="C2556">
            <v>20.680000305175781</v>
          </cell>
          <cell r="D2556">
            <v>717.6300048828125</v>
          </cell>
          <cell r="E2556">
            <v>247.71000671386719</v>
          </cell>
          <cell r="F2556">
            <v>161.05000305175781</v>
          </cell>
        </row>
        <row r="2557">
          <cell r="A2557">
            <v>45867</v>
          </cell>
          <cell r="B2557">
            <v>267.3900146484375</v>
          </cell>
          <cell r="C2557">
            <v>20.409999847412109</v>
          </cell>
          <cell r="D2557">
            <v>700</v>
          </cell>
          <cell r="E2557">
            <v>249.97999572753909</v>
          </cell>
          <cell r="F2557">
            <v>162.08000183105469</v>
          </cell>
        </row>
        <row r="2558">
          <cell r="A2558">
            <v>45868</v>
          </cell>
          <cell r="B2558">
            <v>264.80999755859381</v>
          </cell>
          <cell r="C2558">
            <v>20.340000152587891</v>
          </cell>
          <cell r="D2558">
            <v>695.21002197265625</v>
          </cell>
          <cell r="E2558">
            <v>250.6000061035156</v>
          </cell>
          <cell r="F2558">
            <v>159.05999755859381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257B-C4F5-4AC9-BB27-378CB7DC309D}">
  <dimension ref="A1:P2558"/>
  <sheetViews>
    <sheetView showGridLines="0" tabSelected="1" workbookViewId="0">
      <selection activeCell="P24" sqref="P24"/>
    </sheetView>
  </sheetViews>
  <sheetFormatPr baseColWidth="10" defaultColWidth="8.88671875" defaultRowHeight="14.4" x14ac:dyDescent="0.3"/>
  <cols>
    <col min="1" max="1" width="18" bestFit="1" customWidth="1"/>
    <col min="2" max="2" width="8.88671875" customWidth="1"/>
    <col min="4" max="4" width="14.33203125" bestFit="1" customWidth="1"/>
    <col min="10" max="10" width="9.21875" style="2" bestFit="1" customWidth="1"/>
    <col min="13" max="13" width="13" bestFit="1" customWidth="1"/>
    <col min="14" max="14" width="14.33203125" bestFit="1" customWidth="1"/>
    <col min="15" max="15" width="10.44140625" bestFit="1" customWidth="1"/>
    <col min="16" max="16" width="13.44140625" bestFit="1" customWidth="1"/>
  </cols>
  <sheetData>
    <row r="1" spans="1:16" ht="15.6" thickTop="1" thickBot="1" x14ac:dyDescent="0.35">
      <c r="A1" s="24" t="s">
        <v>0</v>
      </c>
      <c r="B1" s="24" t="s">
        <v>1</v>
      </c>
      <c r="C1" s="25" t="s">
        <v>2</v>
      </c>
      <c r="D1" s="25" t="s">
        <v>3</v>
      </c>
    </row>
    <row r="2" spans="1:16" ht="15" thickTop="1" x14ac:dyDescent="0.3">
      <c r="A2" s="26">
        <v>42156</v>
      </c>
      <c r="B2" s="27">
        <v>79.8519287109375</v>
      </c>
      <c r="C2" s="27">
        <f>LN(B2)</f>
        <v>4.3801740285451123</v>
      </c>
      <c r="D2" s="28"/>
      <c r="G2" s="33" t="s">
        <v>4</v>
      </c>
      <c r="H2" s="33"/>
      <c r="I2" s="33"/>
      <c r="J2" s="34">
        <f>AVERAGE(D3:D2558)</f>
        <v>1.6763412247420499E-4</v>
      </c>
      <c r="L2" s="25" t="s">
        <v>9</v>
      </c>
      <c r="M2" s="25" t="s">
        <v>10</v>
      </c>
      <c r="N2" s="25" t="s">
        <v>11</v>
      </c>
      <c r="O2" s="25" t="s">
        <v>12</v>
      </c>
      <c r="P2" s="25" t="s">
        <v>13</v>
      </c>
    </row>
    <row r="3" spans="1:16" x14ac:dyDescent="0.3">
      <c r="A3" s="26">
        <v>42157</v>
      </c>
      <c r="B3" s="27">
        <v>80.001106262207031</v>
      </c>
      <c r="C3" s="27">
        <f t="shared" ref="C3:C66" si="0">LN(B3)</f>
        <v>4.3820404628558594</v>
      </c>
      <c r="D3" s="29">
        <f>C3/C2-1</f>
        <v>4.2610962454547874E-4</v>
      </c>
      <c r="G3" s="21" t="s">
        <v>6</v>
      </c>
      <c r="H3" s="21"/>
      <c r="I3" s="21"/>
      <c r="J3" s="35">
        <v>252</v>
      </c>
      <c r="L3">
        <v>1</v>
      </c>
      <c r="M3" s="3">
        <f ca="1">+_xll.Simula_Normal(J$4,J$7,L3)</f>
        <v>4.224379886349966E-2</v>
      </c>
      <c r="N3" s="1">
        <v>1000000</v>
      </c>
      <c r="O3" s="1">
        <v>20000</v>
      </c>
      <c r="P3" s="4">
        <f ca="1">(N3-O3)*(1+M3)</f>
        <v>1021398.9228862296</v>
      </c>
    </row>
    <row r="4" spans="1:16" x14ac:dyDescent="0.3">
      <c r="A4" s="26">
        <v>42158</v>
      </c>
      <c r="B4" s="27">
        <v>81.990188598632813</v>
      </c>
      <c r="C4" s="27">
        <f t="shared" si="0"/>
        <v>4.4065995888692875</v>
      </c>
      <c r="D4" s="29">
        <f t="shared" ref="D4:D67" si="1">C4/C3-1</f>
        <v>5.6044954905374311E-3</v>
      </c>
      <c r="G4" s="36" t="s">
        <v>5</v>
      </c>
      <c r="H4" s="36"/>
      <c r="I4" s="36"/>
      <c r="J4" s="23">
        <f>J2*252</f>
        <v>4.224379886349966E-2</v>
      </c>
      <c r="L4">
        <v>2</v>
      </c>
      <c r="M4" s="3">
        <f ca="1">+_xll.Simula_Normal(J$4,J$7,L4)</f>
        <v>4.224379886349966E-2</v>
      </c>
      <c r="N4" s="1">
        <f ca="1">P3</f>
        <v>1021398.9228862296</v>
      </c>
      <c r="O4" s="1">
        <f ca="1">O3*(1+J$9)</f>
        <v>20700</v>
      </c>
      <c r="P4" s="4">
        <f ca="1">(N4-O4)*(1+M4)</f>
        <v>1042972.2469075562</v>
      </c>
    </row>
    <row r="5" spans="1:16" ht="15" thickBot="1" x14ac:dyDescent="0.35">
      <c r="A5" s="26">
        <v>42159</v>
      </c>
      <c r="B5" s="27">
        <v>81.602333068847656</v>
      </c>
      <c r="C5" s="27">
        <f t="shared" si="0"/>
        <v>4.401857853091327</v>
      </c>
      <c r="D5" s="29">
        <f t="shared" si="1"/>
        <v>-1.0760532429444636E-3</v>
      </c>
      <c r="L5">
        <v>3</v>
      </c>
      <c r="M5" s="3">
        <f ca="1">+_xll.Simula_Normal(J$4,J$7,L5)</f>
        <v>4.224379886349966E-2</v>
      </c>
      <c r="N5" s="1">
        <f t="shared" ref="N5:N24" ca="1" si="2">P4</f>
        <v>1042972.2469075562</v>
      </c>
      <c r="O5" s="1">
        <f t="shared" ref="O5:O24" ca="1" si="3">O4*(1+J$9)</f>
        <v>21424.5</v>
      </c>
      <c r="P5" s="4">
        <f t="shared" ref="P5:P24" ca="1" si="4">(N5-O5)*(1+M5)</f>
        <v>1064701.8044573802</v>
      </c>
    </row>
    <row r="6" spans="1:16" ht="15" thickTop="1" x14ac:dyDescent="0.3">
      <c r="A6" s="26">
        <v>42160</v>
      </c>
      <c r="B6" s="27">
        <v>81.691825866699219</v>
      </c>
      <c r="C6" s="27">
        <f t="shared" si="0"/>
        <v>4.4029539462693661</v>
      </c>
      <c r="D6" s="29">
        <f t="shared" si="1"/>
        <v>2.4900694538998458E-4</v>
      </c>
      <c r="G6" s="33" t="s">
        <v>7</v>
      </c>
      <c r="H6" s="33"/>
      <c r="I6" s="33"/>
      <c r="J6" s="34">
        <f>_xlfn.STDEV.S(D3:D2558)</f>
        <v>4.5850695700386671E-3</v>
      </c>
      <c r="L6">
        <v>4</v>
      </c>
      <c r="M6" s="3">
        <f ca="1">+_xll.Simula_Normal(J$4,J$7,L6)</f>
        <v>4.224379886349966E-2</v>
      </c>
      <c r="N6" s="1">
        <f t="shared" ca="1" si="2"/>
        <v>1064701.8044573802</v>
      </c>
      <c r="O6" s="1">
        <f t="shared" ca="1" si="3"/>
        <v>22174.357499999998</v>
      </c>
      <c r="P6" s="4">
        <f t="shared" ca="1" si="4"/>
        <v>1086567.7667363256</v>
      </c>
    </row>
    <row r="7" spans="1:16" x14ac:dyDescent="0.3">
      <c r="A7" s="26">
        <v>42163</v>
      </c>
      <c r="B7" s="27">
        <v>80.229850769042969</v>
      </c>
      <c r="C7" s="27">
        <f t="shared" si="0"/>
        <v>4.3848956497244851</v>
      </c>
      <c r="D7" s="29">
        <f t="shared" si="1"/>
        <v>-4.1014048216838628E-3</v>
      </c>
      <c r="G7" s="36" t="s">
        <v>8</v>
      </c>
      <c r="H7" s="36"/>
      <c r="I7" s="36"/>
      <c r="J7" s="23">
        <f>J6*(J3)^(0.5)</f>
        <v>7.2785722957512983E-2</v>
      </c>
      <c r="L7">
        <v>5</v>
      </c>
      <c r="M7" s="3">
        <f ca="1">+_xll.Simula_Normal(J$4,J$7,L7)</f>
        <v>4.224379886349966E-2</v>
      </c>
      <c r="N7" s="1">
        <f t="shared" ca="1" si="2"/>
        <v>1086567.7667363256</v>
      </c>
      <c r="O7" s="1">
        <f t="shared" ca="1" si="3"/>
        <v>22950.460012499996</v>
      </c>
      <c r="P7" s="4">
        <f t="shared" ca="1" si="4"/>
        <v>1108548.542296804</v>
      </c>
    </row>
    <row r="8" spans="1:16" ht="15" thickBot="1" x14ac:dyDescent="0.35">
      <c r="A8" s="26">
        <v>42164</v>
      </c>
      <c r="B8" s="27">
        <v>80.229850769042969</v>
      </c>
      <c r="C8" s="27">
        <f t="shared" si="0"/>
        <v>4.3848956497244851</v>
      </c>
      <c r="D8" s="29">
        <f t="shared" si="1"/>
        <v>0</v>
      </c>
      <c r="L8">
        <v>6</v>
      </c>
      <c r="M8" s="3">
        <f ca="1">+_xll.Simula_Normal(J$4,J$7,L8)</f>
        <v>4.224379886349966E-2</v>
      </c>
      <c r="N8" s="1">
        <f t="shared" ca="1" si="2"/>
        <v>1108548.542296804</v>
      </c>
      <c r="O8" s="1">
        <f t="shared" ca="1" si="3"/>
        <v>23753.726112937493</v>
      </c>
      <c r="P8" s="4">
        <f t="shared" ca="1" si="4"/>
        <v>1130620.6702069046</v>
      </c>
    </row>
    <row r="9" spans="1:16" ht="15" thickTop="1" x14ac:dyDescent="0.3">
      <c r="A9" s="26">
        <v>42165</v>
      </c>
      <c r="B9" s="27">
        <v>81.711723327636719</v>
      </c>
      <c r="C9" s="27">
        <f t="shared" si="0"/>
        <v>4.4031974839542443</v>
      </c>
      <c r="D9" s="29">
        <f t="shared" si="1"/>
        <v>4.1738357515781477E-3</v>
      </c>
      <c r="G9" s="33" t="s">
        <v>16</v>
      </c>
      <c r="H9" s="33"/>
      <c r="I9" s="33"/>
      <c r="J9" s="34">
        <f ca="1">_xll.Simula_Triangular(J10,J11,0.035,"Inflacion")</f>
        <v>3.4999999999999996E-2</v>
      </c>
      <c r="L9">
        <v>7</v>
      </c>
      <c r="M9" s="3">
        <f ca="1">+_xll.Simula_Normal(J$4,J$7,L9)</f>
        <v>4.224379886349966E-2</v>
      </c>
      <c r="N9" s="1">
        <f t="shared" ca="1" si="2"/>
        <v>1130620.6702069046</v>
      </c>
      <c r="O9" s="1">
        <f t="shared" ca="1" si="3"/>
        <v>24585.106526890304</v>
      </c>
      <c r="P9" s="4">
        <f t="shared" ca="1" si="4"/>
        <v>1152758.7075679903</v>
      </c>
    </row>
    <row r="10" spans="1:16" x14ac:dyDescent="0.3">
      <c r="A10" s="26">
        <v>42166</v>
      </c>
      <c r="B10" s="27">
        <v>81.383529663085938</v>
      </c>
      <c r="C10" s="27">
        <f t="shared" si="0"/>
        <v>4.399172914244013</v>
      </c>
      <c r="D10" s="29">
        <f t="shared" si="1"/>
        <v>-9.1401072173058484E-4</v>
      </c>
      <c r="G10" s="21" t="s">
        <v>14</v>
      </c>
      <c r="H10" s="21"/>
      <c r="I10" s="21"/>
      <c r="J10" s="22">
        <v>0.01</v>
      </c>
      <c r="L10">
        <v>8</v>
      </c>
      <c r="M10" s="3">
        <f ca="1">+_xll.Simula_Normal(J$4,J$7,L10)</f>
        <v>4.224379886349966E-2</v>
      </c>
      <c r="N10" s="1">
        <f t="shared" ca="1" si="2"/>
        <v>1152758.7075679903</v>
      </c>
      <c r="O10" s="1">
        <f t="shared" ca="1" si="3"/>
        <v>25445.585255331462</v>
      </c>
      <c r="P10" s="4">
        <f t="shared" ca="1" si="4"/>
        <v>1174935.1111078185</v>
      </c>
    </row>
    <row r="11" spans="1:16" x14ac:dyDescent="0.3">
      <c r="A11" s="26">
        <v>42167</v>
      </c>
      <c r="B11" s="27">
        <v>81.085151672363281</v>
      </c>
      <c r="C11" s="27">
        <f t="shared" si="0"/>
        <v>4.3954998577049933</v>
      </c>
      <c r="D11" s="29">
        <f t="shared" si="1"/>
        <v>-8.3494252456561835E-4</v>
      </c>
      <c r="G11" s="36" t="s">
        <v>15</v>
      </c>
      <c r="H11" s="36"/>
      <c r="I11" s="36"/>
      <c r="J11" s="23">
        <v>0.06</v>
      </c>
      <c r="L11">
        <v>9</v>
      </c>
      <c r="M11" s="3">
        <f ca="1">+_xll.Simula_Normal(J$4,J$7,L11)</f>
        <v>4.224379886349966E-2</v>
      </c>
      <c r="N11" s="1">
        <f t="shared" ca="1" si="2"/>
        <v>1174935.1111078185</v>
      </c>
      <c r="O11" s="1">
        <f t="shared" ca="1" si="3"/>
        <v>26336.18073926806</v>
      </c>
      <c r="P11" s="4">
        <f t="shared" ca="1" si="4"/>
        <v>1197120.1125578703</v>
      </c>
    </row>
    <row r="12" spans="1:16" x14ac:dyDescent="0.3">
      <c r="A12" s="26">
        <v>42170</v>
      </c>
      <c r="B12" s="27">
        <v>80.269638061523438</v>
      </c>
      <c r="C12" s="27">
        <f t="shared" si="0"/>
        <v>4.3853914431202821</v>
      </c>
      <c r="D12" s="29">
        <f t="shared" si="1"/>
        <v>-2.2997190107950649E-3</v>
      </c>
      <c r="L12">
        <v>10</v>
      </c>
      <c r="M12" s="3">
        <f ca="1">+_xll.Simula_Normal(J$4,J$7,L12)</f>
        <v>4.224379886349966E-2</v>
      </c>
      <c r="N12" s="1">
        <f t="shared" ca="1" si="2"/>
        <v>1197120.1125578703</v>
      </c>
      <c r="O12" s="1">
        <f t="shared" ca="1" si="3"/>
        <v>27257.947065142442</v>
      </c>
      <c r="P12" s="4">
        <f t="shared" ca="1" si="4"/>
        <v>1219281.5875098207</v>
      </c>
    </row>
    <row r="13" spans="1:16" x14ac:dyDescent="0.3">
      <c r="A13" s="26">
        <v>42171</v>
      </c>
      <c r="B13" s="27">
        <v>80.617721557617188</v>
      </c>
      <c r="C13" s="27">
        <f t="shared" si="0"/>
        <v>4.3897184957865196</v>
      </c>
      <c r="D13" s="29">
        <f t="shared" si="1"/>
        <v>9.8669701949316568E-4</v>
      </c>
      <c r="L13">
        <v>11</v>
      </c>
      <c r="M13" s="3">
        <f ca="1">+_xll.Simula_Normal(J$4,J$7,L13)</f>
        <v>4.224379886349966E-2</v>
      </c>
      <c r="N13" s="1">
        <f t="shared" ca="1" si="2"/>
        <v>1219281.5875098207</v>
      </c>
      <c r="O13" s="1">
        <f t="shared" ca="1" si="3"/>
        <v>28211.975212422425</v>
      </c>
      <c r="P13" s="4">
        <f t="shared" ca="1" si="4"/>
        <v>1241384.9174317161</v>
      </c>
    </row>
    <row r="14" spans="1:16" x14ac:dyDescent="0.3">
      <c r="A14" s="26">
        <v>42172</v>
      </c>
      <c r="B14" s="27">
        <v>81.343742370605469</v>
      </c>
      <c r="C14" s="27">
        <f t="shared" si="0"/>
        <v>4.3986839084028153</v>
      </c>
      <c r="D14" s="29">
        <f t="shared" si="1"/>
        <v>2.042366184733968E-3</v>
      </c>
      <c r="L14">
        <v>12</v>
      </c>
      <c r="M14" s="3">
        <f ca="1">+_xll.Simula_Normal(J$4,J$7,L14)</f>
        <v>4.224379886349966E-2</v>
      </c>
      <c r="N14" s="1">
        <f t="shared" ca="1" si="2"/>
        <v>1241384.9174317161</v>
      </c>
      <c r="O14" s="1">
        <f t="shared" ca="1" si="3"/>
        <v>29199.394344857206</v>
      </c>
      <c r="P14" s="4">
        <f t="shared" ca="1" si="4"/>
        <v>1263392.8445093862</v>
      </c>
    </row>
    <row r="15" spans="1:16" x14ac:dyDescent="0.3">
      <c r="A15" s="26">
        <v>42173</v>
      </c>
      <c r="B15" s="27">
        <v>82.457633972167969</v>
      </c>
      <c r="C15" s="27">
        <f t="shared" si="0"/>
        <v>4.4122846338300885</v>
      </c>
      <c r="D15" s="29">
        <f t="shared" si="1"/>
        <v>3.0919988138478072E-3</v>
      </c>
      <c r="L15">
        <v>13</v>
      </c>
      <c r="M15" s="3">
        <f ca="1">+_xll.Simula_Normal(J$4,J$7,L15)</f>
        <v>4.224379886349966E-2</v>
      </c>
      <c r="N15" s="1">
        <f t="shared" ca="1" si="2"/>
        <v>1263392.8445093862</v>
      </c>
      <c r="O15" s="1">
        <f t="shared" ca="1" si="3"/>
        <v>30221.373146927206</v>
      </c>
      <c r="P15" s="4">
        <f t="shared" ca="1" si="4"/>
        <v>1285265.3189629007</v>
      </c>
    </row>
    <row r="16" spans="1:16" x14ac:dyDescent="0.3">
      <c r="A16" s="26">
        <v>42174</v>
      </c>
      <c r="B16" s="27">
        <v>82.059814453125</v>
      </c>
      <c r="C16" s="27">
        <f t="shared" si="0"/>
        <v>4.4074484258991875</v>
      </c>
      <c r="D16" s="29">
        <f t="shared" si="1"/>
        <v>-1.0960779578499391E-3</v>
      </c>
      <c r="L16">
        <v>14</v>
      </c>
      <c r="M16" s="3">
        <f ca="1">+_xll.Simula_Normal(J$4,J$7,L16)</f>
        <v>4.224379886349966E-2</v>
      </c>
      <c r="N16" s="1">
        <f t="shared" ca="1" si="2"/>
        <v>1285265.3189629007</v>
      </c>
      <c r="O16" s="1">
        <f t="shared" ca="1" si="3"/>
        <v>31279.121207069657</v>
      </c>
      <c r="P16" s="4">
        <f t="shared" ca="1" si="4"/>
        <v>1306959.3384714329</v>
      </c>
    </row>
    <row r="17" spans="1:16" x14ac:dyDescent="0.3">
      <c r="A17" s="26">
        <v>42177</v>
      </c>
      <c r="B17" s="27">
        <v>84.277641296386719</v>
      </c>
      <c r="C17" s="27">
        <f t="shared" si="0"/>
        <v>4.4341166020278271</v>
      </c>
      <c r="D17" s="29">
        <f t="shared" si="1"/>
        <v>6.0507063388266502E-3</v>
      </c>
      <c r="L17">
        <v>15</v>
      </c>
      <c r="M17" s="3">
        <f ca="1">+_xll.Simula_Normal(J$4,J$7,L17)</f>
        <v>4.224379886349966E-2</v>
      </c>
      <c r="N17" s="1">
        <f t="shared" ca="1" si="2"/>
        <v>1306959.3384714329</v>
      </c>
      <c r="O17" s="1">
        <f t="shared" ca="1" si="3"/>
        <v>32373.890449317092</v>
      </c>
      <c r="P17" s="4">
        <f t="shared" ca="1" si="4"/>
        <v>1328428.7793227055</v>
      </c>
    </row>
    <row r="18" spans="1:16" x14ac:dyDescent="0.3">
      <c r="A18" s="26">
        <v>42178</v>
      </c>
      <c r="B18" s="27">
        <v>87.4005126953125</v>
      </c>
      <c r="C18" s="27">
        <f t="shared" si="0"/>
        <v>4.4705011487233746</v>
      </c>
      <c r="D18" s="29">
        <f t="shared" si="1"/>
        <v>8.2055908676168521E-3</v>
      </c>
      <c r="L18">
        <v>16</v>
      </c>
      <c r="M18" s="3">
        <f ca="1">+_xll.Simula_Normal(J$4,J$7,L18)</f>
        <v>4.224379886349966E-2</v>
      </c>
      <c r="N18" s="1">
        <f t="shared" ca="1" si="2"/>
        <v>1328428.7793227055</v>
      </c>
      <c r="O18" s="1">
        <f t="shared" ca="1" si="3"/>
        <v>33506.97661504319</v>
      </c>
      <c r="P18" s="4">
        <f t="shared" ca="1" si="4"/>
        <v>1349624.2188852052</v>
      </c>
    </row>
    <row r="19" spans="1:16" x14ac:dyDescent="0.3">
      <c r="A19" s="26">
        <v>42179</v>
      </c>
      <c r="B19" s="27">
        <v>88.375167846679688</v>
      </c>
      <c r="C19" s="27">
        <f t="shared" si="0"/>
        <v>4.4815910234701493</v>
      </c>
      <c r="D19" s="29">
        <f t="shared" si="1"/>
        <v>2.4806782009085815E-3</v>
      </c>
      <c r="L19">
        <v>17</v>
      </c>
      <c r="M19" s="3">
        <f ca="1">+_xll.Simula_Normal(J$4,J$7,L19)</f>
        <v>4.224379886349966E-2</v>
      </c>
      <c r="N19" s="1">
        <f t="shared" ca="1" si="2"/>
        <v>1349624.2188852052</v>
      </c>
      <c r="O19" s="1">
        <f t="shared" ca="1" si="3"/>
        <v>34679.720796569702</v>
      </c>
      <c r="P19" s="4">
        <f t="shared" ca="1" si="4"/>
        <v>1370492.7489825573</v>
      </c>
    </row>
    <row r="20" spans="1:16" x14ac:dyDescent="0.3">
      <c r="A20" s="26">
        <v>42180</v>
      </c>
      <c r="B20" s="27">
        <v>87.499969482421875</v>
      </c>
      <c r="C20" s="27">
        <f t="shared" si="0"/>
        <v>4.4716384445911865</v>
      </c>
      <c r="D20" s="29">
        <f t="shared" si="1"/>
        <v>-2.220769103392306E-3</v>
      </c>
      <c r="L20">
        <v>18</v>
      </c>
      <c r="M20" s="3">
        <f ca="1">+_xll.Simula_Normal(J$4,J$7,L20)</f>
        <v>4.224379886349966E-2</v>
      </c>
      <c r="N20" s="1">
        <f t="shared" ca="1" si="2"/>
        <v>1370492.7489825573</v>
      </c>
      <c r="O20" s="1">
        <f t="shared" ca="1" si="3"/>
        <v>35893.511024449639</v>
      </c>
      <c r="P20" s="4">
        <f t="shared" ca="1" si="4"/>
        <v>1390977.7797297898</v>
      </c>
    </row>
    <row r="21" spans="1:16" x14ac:dyDescent="0.3">
      <c r="A21" s="26">
        <v>42181</v>
      </c>
      <c r="B21" s="27">
        <v>87.529808044433594</v>
      </c>
      <c r="C21" s="27">
        <f t="shared" si="0"/>
        <v>4.4719793987159351</v>
      </c>
      <c r="D21" s="29">
        <f t="shared" si="1"/>
        <v>7.6248142369506056E-5</v>
      </c>
      <c r="L21">
        <v>19</v>
      </c>
      <c r="M21" s="3">
        <f ca="1">+_xll.Simula_Normal(J$4,J$7,L21)</f>
        <v>4.224379886349966E-2</v>
      </c>
      <c r="N21" s="1">
        <f t="shared" ca="1" si="2"/>
        <v>1390977.7797297898</v>
      </c>
      <c r="O21" s="1">
        <f t="shared" ca="1" si="3"/>
        <v>37149.78391030537</v>
      </c>
      <c r="P21" s="4">
        <f t="shared" ca="1" si="4"/>
        <v>1411018.8333706574</v>
      </c>
    </row>
    <row r="22" spans="1:16" x14ac:dyDescent="0.3">
      <c r="A22" s="26">
        <v>42184</v>
      </c>
      <c r="B22" s="27">
        <v>85.331863403320313</v>
      </c>
      <c r="C22" s="27">
        <f t="shared" si="0"/>
        <v>4.4465479299207482</v>
      </c>
      <c r="D22" s="29">
        <f t="shared" si="1"/>
        <v>-5.6868483791515656E-3</v>
      </c>
      <c r="L22">
        <v>20</v>
      </c>
      <c r="M22" s="3">
        <f ca="1">+_xll.Simula_Normal(J$4,J$7,L22)</f>
        <v>4.224379886349966E-2</v>
      </c>
      <c r="N22" s="1">
        <f t="shared" ca="1" si="2"/>
        <v>1411018.8333706574</v>
      </c>
      <c r="O22" s="1">
        <f t="shared" ca="1" si="3"/>
        <v>38450.026347166058</v>
      </c>
      <c r="P22" s="4">
        <f t="shared" ca="1" si="4"/>
        <v>1430551.3276337052</v>
      </c>
    </row>
    <row r="23" spans="1:16" x14ac:dyDescent="0.3">
      <c r="A23" s="26">
        <v>42185</v>
      </c>
      <c r="B23" s="27">
        <v>85.302024841308594</v>
      </c>
      <c r="C23" s="27">
        <f t="shared" si="0"/>
        <v>4.4461981920975893</v>
      </c>
      <c r="D23" s="29">
        <f t="shared" si="1"/>
        <v>-7.8653784614690636E-5</v>
      </c>
      <c r="L23">
        <v>21</v>
      </c>
      <c r="M23" s="3">
        <f ca="1">+_xll.Simula_Normal(J$4,J$7,L23)</f>
        <v>4.224379886349966E-2</v>
      </c>
      <c r="N23" s="1">
        <f t="shared" ca="1" si="2"/>
        <v>1430551.3276337052</v>
      </c>
      <c r="O23" s="1">
        <f t="shared" ca="1" si="3"/>
        <v>39795.777269316866</v>
      </c>
      <c r="P23" s="4">
        <f t="shared" ca="1" si="4"/>
        <v>1449506.3481022774</v>
      </c>
    </row>
    <row r="24" spans="1:16" x14ac:dyDescent="0.3">
      <c r="A24" s="26">
        <v>42186</v>
      </c>
      <c r="B24" s="27">
        <v>86.435813903808594</v>
      </c>
      <c r="C24" s="27">
        <f t="shared" si="0"/>
        <v>4.4594021026988848</v>
      </c>
      <c r="D24" s="29">
        <f t="shared" si="1"/>
        <v>2.9697080586204017E-3</v>
      </c>
      <c r="L24" s="36">
        <v>22</v>
      </c>
      <c r="M24" s="37">
        <f ca="1">+_xll.Simula_Normal(J$4,J$7,L24)</f>
        <v>4.224379886349966E-2</v>
      </c>
      <c r="N24" s="38">
        <f t="shared" ca="1" si="2"/>
        <v>1449506.3481022774</v>
      </c>
      <c r="O24" s="38">
        <f t="shared" ca="1" si="3"/>
        <v>41188.629473742956</v>
      </c>
      <c r="P24" s="39">
        <f ca="1">+_xll.Simula_Output((N24-O24)*(1+M24),"Valor_final")</f>
        <v>1467810.4090701807</v>
      </c>
    </row>
    <row r="25" spans="1:16" x14ac:dyDescent="0.3">
      <c r="A25" s="26">
        <v>42187</v>
      </c>
      <c r="B25" s="27">
        <v>86.813728332519531</v>
      </c>
      <c r="C25" s="27">
        <f t="shared" si="0"/>
        <v>4.4637647696731468</v>
      </c>
      <c r="D25" s="29">
        <f t="shared" si="1"/>
        <v>9.7830760128614358E-4</v>
      </c>
    </row>
    <row r="26" spans="1:16" x14ac:dyDescent="0.3">
      <c r="A26" s="26">
        <v>42191</v>
      </c>
      <c r="B26" s="27">
        <v>87.072319030761719</v>
      </c>
      <c r="C26" s="27">
        <f t="shared" si="0"/>
        <v>4.4667390265821068</v>
      </c>
      <c r="D26" s="29">
        <f t="shared" si="1"/>
        <v>6.6631130053429466E-4</v>
      </c>
    </row>
    <row r="27" spans="1:16" x14ac:dyDescent="0.3">
      <c r="A27" s="26">
        <v>42192</v>
      </c>
      <c r="B27" s="27">
        <v>86.744117736816406</v>
      </c>
      <c r="C27" s="27">
        <f t="shared" si="0"/>
        <v>4.4629626094595665</v>
      </c>
      <c r="D27" s="29">
        <f t="shared" si="1"/>
        <v>-8.4545282365200425E-4</v>
      </c>
    </row>
    <row r="28" spans="1:16" x14ac:dyDescent="0.3">
      <c r="A28" s="26">
        <v>42193</v>
      </c>
      <c r="B28" s="27">
        <v>85.182693481445313</v>
      </c>
      <c r="C28" s="27">
        <f t="shared" si="0"/>
        <v>4.4447982850499024</v>
      </c>
      <c r="D28" s="29">
        <f t="shared" si="1"/>
        <v>-4.0700149203947156E-3</v>
      </c>
    </row>
    <row r="29" spans="1:16" x14ac:dyDescent="0.3">
      <c r="A29" s="26">
        <v>42194</v>
      </c>
      <c r="B29" s="27">
        <v>85.411430358886719</v>
      </c>
      <c r="C29" s="27">
        <f t="shared" si="0"/>
        <v>4.4474799367899225</v>
      </c>
      <c r="D29" s="29">
        <f t="shared" si="1"/>
        <v>6.0332360841663935E-4</v>
      </c>
    </row>
    <row r="30" spans="1:16" x14ac:dyDescent="0.3">
      <c r="A30" s="26">
        <v>42195</v>
      </c>
      <c r="B30" s="27">
        <v>87.470130920410156</v>
      </c>
      <c r="C30" s="27">
        <f t="shared" si="0"/>
        <v>4.4712973741770723</v>
      </c>
      <c r="D30" s="29">
        <f t="shared" si="1"/>
        <v>5.355265841702872E-3</v>
      </c>
    </row>
    <row r="31" spans="1:16" x14ac:dyDescent="0.3">
      <c r="A31" s="26">
        <v>42198</v>
      </c>
      <c r="B31" s="27">
        <v>89.608406066894531</v>
      </c>
      <c r="C31" s="27">
        <f t="shared" si="0"/>
        <v>4.4954491332911548</v>
      </c>
      <c r="D31" s="29">
        <f t="shared" si="1"/>
        <v>5.4015103655518093E-3</v>
      </c>
    </row>
    <row r="32" spans="1:16" x14ac:dyDescent="0.3">
      <c r="A32" s="26">
        <v>42199</v>
      </c>
      <c r="B32" s="27">
        <v>89.190704345703125</v>
      </c>
      <c r="C32" s="27">
        <f t="shared" si="0"/>
        <v>4.4907768227845404</v>
      </c>
      <c r="D32" s="29">
        <f t="shared" si="1"/>
        <v>-1.039342314433811E-3</v>
      </c>
    </row>
    <row r="33" spans="1:4" x14ac:dyDescent="0.3">
      <c r="A33" s="26">
        <v>42200</v>
      </c>
      <c r="B33" s="27">
        <v>89.270263671875</v>
      </c>
      <c r="C33" s="27">
        <f t="shared" si="0"/>
        <v>4.4916684388317503</v>
      </c>
      <c r="D33" s="29">
        <f t="shared" si="1"/>
        <v>1.9854383381656682E-4</v>
      </c>
    </row>
    <row r="34" spans="1:4" x14ac:dyDescent="0.3">
      <c r="A34" s="26">
        <v>42201</v>
      </c>
      <c r="B34" s="27">
        <v>90.35430908203125</v>
      </c>
      <c r="C34" s="27">
        <f t="shared" si="0"/>
        <v>4.5037387091165719</v>
      </c>
      <c r="D34" s="29">
        <f t="shared" si="1"/>
        <v>2.6872576302539031E-3</v>
      </c>
    </row>
    <row r="35" spans="1:4" x14ac:dyDescent="0.3">
      <c r="A35" s="26">
        <v>42202</v>
      </c>
      <c r="B35" s="27">
        <v>94.451835632324219</v>
      </c>
      <c r="C35" s="27">
        <f t="shared" si="0"/>
        <v>4.5480900287223909</v>
      </c>
      <c r="D35" s="29">
        <f t="shared" si="1"/>
        <v>9.8476671206617628E-3</v>
      </c>
    </row>
    <row r="36" spans="1:4" x14ac:dyDescent="0.3">
      <c r="A36" s="26">
        <v>42205</v>
      </c>
      <c r="B36" s="27">
        <v>97.37579345703125</v>
      </c>
      <c r="C36" s="27">
        <f t="shared" si="0"/>
        <v>4.5785776526253006</v>
      </c>
      <c r="D36" s="29">
        <f t="shared" si="1"/>
        <v>6.7033905904176905E-3</v>
      </c>
    </row>
    <row r="37" spans="1:4" x14ac:dyDescent="0.3">
      <c r="A37" s="26">
        <v>42206</v>
      </c>
      <c r="B37" s="27">
        <v>97.853172302246094</v>
      </c>
      <c r="C37" s="27">
        <f t="shared" si="0"/>
        <v>4.5834681133701807</v>
      </c>
      <c r="D37" s="29">
        <f t="shared" si="1"/>
        <v>1.0681178994695895E-3</v>
      </c>
    </row>
    <row r="38" spans="1:4" x14ac:dyDescent="0.3">
      <c r="A38" s="26">
        <v>42207</v>
      </c>
      <c r="B38" s="27">
        <v>96.510536193847656</v>
      </c>
      <c r="C38" s="27">
        <f t="shared" si="0"/>
        <v>4.5696521857408055</v>
      </c>
      <c r="D38" s="29">
        <f t="shared" si="1"/>
        <v>-3.0142955700015461E-3</v>
      </c>
    </row>
    <row r="39" spans="1:4" x14ac:dyDescent="0.3">
      <c r="A39" s="26">
        <v>42208</v>
      </c>
      <c r="B39" s="27">
        <v>94.919273376464844</v>
      </c>
      <c r="C39" s="27">
        <f t="shared" si="0"/>
        <v>4.5530267764230583</v>
      </c>
      <c r="D39" s="29">
        <f t="shared" si="1"/>
        <v>-3.6382220444753921E-3</v>
      </c>
    </row>
    <row r="40" spans="1:4" x14ac:dyDescent="0.3">
      <c r="A40" s="26">
        <v>42209</v>
      </c>
      <c r="B40" s="27">
        <v>96.4210205078125</v>
      </c>
      <c r="C40" s="27">
        <f t="shared" si="0"/>
        <v>4.5687242329062467</v>
      </c>
      <c r="D40" s="29">
        <f t="shared" si="1"/>
        <v>3.4476969396435297E-3</v>
      </c>
    </row>
    <row r="41" spans="1:4" x14ac:dyDescent="0.3">
      <c r="A41" s="26">
        <v>42212</v>
      </c>
      <c r="B41" s="27">
        <v>93.65618896484375</v>
      </c>
      <c r="C41" s="27">
        <f t="shared" si="0"/>
        <v>4.5396305128233641</v>
      </c>
      <c r="D41" s="29">
        <f t="shared" si="1"/>
        <v>-6.3680184225904934E-3</v>
      </c>
    </row>
    <row r="42" spans="1:4" x14ac:dyDescent="0.3">
      <c r="A42" s="26">
        <v>42213</v>
      </c>
      <c r="B42" s="27">
        <v>94.77008056640625</v>
      </c>
      <c r="C42" s="27">
        <f t="shared" si="0"/>
        <v>4.5514537536073751</v>
      </c>
      <c r="D42" s="29">
        <f t="shared" si="1"/>
        <v>2.6044500209021493E-3</v>
      </c>
    </row>
    <row r="43" spans="1:4" x14ac:dyDescent="0.3">
      <c r="A43" s="26">
        <v>42214</v>
      </c>
      <c r="B43" s="27">
        <v>96.4608154296875</v>
      </c>
      <c r="C43" s="27">
        <f t="shared" si="0"/>
        <v>4.5691368681577336</v>
      </c>
      <c r="D43" s="29">
        <f t="shared" si="1"/>
        <v>3.8851574700375924E-3</v>
      </c>
    </row>
    <row r="44" spans="1:4" x14ac:dyDescent="0.3">
      <c r="A44" s="26">
        <v>42215</v>
      </c>
      <c r="B44" s="27">
        <v>94.690513610839844</v>
      </c>
      <c r="C44" s="27">
        <f t="shared" si="0"/>
        <v>4.5506138221103827</v>
      </c>
      <c r="D44" s="29">
        <f t="shared" si="1"/>
        <v>-4.0539486082016296E-3</v>
      </c>
    </row>
    <row r="45" spans="1:4" x14ac:dyDescent="0.3">
      <c r="A45" s="26">
        <v>42216</v>
      </c>
      <c r="B45" s="27">
        <v>93.497077941894531</v>
      </c>
      <c r="C45" s="27">
        <f t="shared" si="0"/>
        <v>4.5379301838479416</v>
      </c>
      <c r="D45" s="29">
        <f t="shared" si="1"/>
        <v>-2.7872367900818595E-3</v>
      </c>
    </row>
    <row r="46" spans="1:4" x14ac:dyDescent="0.3">
      <c r="A46" s="26">
        <v>42219</v>
      </c>
      <c r="B46" s="27">
        <v>93.626358032226563</v>
      </c>
      <c r="C46" s="27">
        <f t="shared" si="0"/>
        <v>4.5393119467492928</v>
      </c>
      <c r="D46" s="29">
        <f t="shared" si="1"/>
        <v>3.0449188184289433E-4</v>
      </c>
    </row>
    <row r="47" spans="1:4" x14ac:dyDescent="0.3">
      <c r="A47" s="26">
        <v>42220</v>
      </c>
      <c r="B47" s="27">
        <v>93.546798706054688</v>
      </c>
      <c r="C47" s="27">
        <f t="shared" si="0"/>
        <v>4.538461831996198</v>
      </c>
      <c r="D47" s="29">
        <f t="shared" si="1"/>
        <v>-1.8727832831666458E-4</v>
      </c>
    </row>
    <row r="48" spans="1:4" x14ac:dyDescent="0.3">
      <c r="A48" s="26">
        <v>42221</v>
      </c>
      <c r="B48" s="27">
        <v>95.913810729980469</v>
      </c>
      <c r="C48" s="27">
        <f t="shared" si="0"/>
        <v>4.5634499833035953</v>
      </c>
      <c r="D48" s="29">
        <f t="shared" si="1"/>
        <v>5.5058634912892312E-3</v>
      </c>
    </row>
    <row r="49" spans="1:4" x14ac:dyDescent="0.3">
      <c r="A49" s="26">
        <v>42222</v>
      </c>
      <c r="B49" s="27">
        <v>94.60101318359375</v>
      </c>
      <c r="C49" s="27">
        <f t="shared" si="0"/>
        <v>4.5496681861864596</v>
      </c>
      <c r="D49" s="29">
        <f t="shared" si="1"/>
        <v>-3.0200390422946422E-3</v>
      </c>
    </row>
    <row r="50" spans="1:4" x14ac:dyDescent="0.3">
      <c r="A50" s="26">
        <v>42223</v>
      </c>
      <c r="B50" s="27">
        <v>93.785491943359375</v>
      </c>
      <c r="C50" s="27">
        <f t="shared" si="0"/>
        <v>4.5410101739360842</v>
      </c>
      <c r="D50" s="29">
        <f t="shared" si="1"/>
        <v>-1.902998613539042E-3</v>
      </c>
    </row>
    <row r="51" spans="1:4" x14ac:dyDescent="0.3">
      <c r="A51" s="26">
        <v>42226</v>
      </c>
      <c r="B51" s="27">
        <v>93.636299133300781</v>
      </c>
      <c r="C51" s="27">
        <f t="shared" si="0"/>
        <v>4.5394181195574124</v>
      </c>
      <c r="D51" s="29">
        <f t="shared" si="1"/>
        <v>-3.5059476144971846E-4</v>
      </c>
    </row>
    <row r="52" spans="1:4" x14ac:dyDescent="0.3">
      <c r="A52" s="26">
        <v>42227</v>
      </c>
      <c r="B52" s="27">
        <v>93.109207153320313</v>
      </c>
      <c r="C52" s="27">
        <f t="shared" si="0"/>
        <v>4.5337730747027658</v>
      </c>
      <c r="D52" s="29">
        <f t="shared" si="1"/>
        <v>-1.243561334507981E-3</v>
      </c>
    </row>
    <row r="53" spans="1:4" x14ac:dyDescent="0.3">
      <c r="A53" s="26">
        <v>42228</v>
      </c>
      <c r="B53" s="27">
        <v>93.676094055175781</v>
      </c>
      <c r="C53" s="27">
        <f t="shared" si="0"/>
        <v>4.5398430238768359</v>
      </c>
      <c r="D53" s="29">
        <f t="shared" si="1"/>
        <v>1.3388295077976231E-3</v>
      </c>
    </row>
    <row r="54" spans="1:4" x14ac:dyDescent="0.3">
      <c r="A54" s="26">
        <v>42229</v>
      </c>
      <c r="B54" s="27">
        <v>92.920234680175781</v>
      </c>
      <c r="C54" s="27">
        <f t="shared" si="0"/>
        <v>4.531741433514342</v>
      </c>
      <c r="D54" s="29">
        <f t="shared" si="1"/>
        <v>-1.7845529724010989E-3</v>
      </c>
    </row>
    <row r="55" spans="1:4" x14ac:dyDescent="0.3">
      <c r="A55" s="26">
        <v>42230</v>
      </c>
      <c r="B55" s="27">
        <v>93.904838562011719</v>
      </c>
      <c r="C55" s="27">
        <f t="shared" si="0"/>
        <v>4.5422819137685639</v>
      </c>
      <c r="D55" s="29">
        <f t="shared" si="1"/>
        <v>2.3259226963547874E-3</v>
      </c>
    </row>
    <row r="56" spans="1:4" x14ac:dyDescent="0.3">
      <c r="A56" s="26">
        <v>42233</v>
      </c>
      <c r="B56" s="27">
        <v>93.417510986328125</v>
      </c>
      <c r="C56" s="27">
        <f t="shared" si="0"/>
        <v>4.5370788114555696</v>
      </c>
      <c r="D56" s="29">
        <f t="shared" si="1"/>
        <v>-1.1454820312281067E-3</v>
      </c>
    </row>
    <row r="57" spans="1:4" x14ac:dyDescent="0.3">
      <c r="A57" s="26">
        <v>42234</v>
      </c>
      <c r="B57" s="27">
        <v>94.650726318359375</v>
      </c>
      <c r="C57" s="27">
        <f t="shared" si="0"/>
        <v>4.5501935513539333</v>
      </c>
      <c r="D57" s="29">
        <f t="shared" si="1"/>
        <v>2.8905691180083348E-3</v>
      </c>
    </row>
    <row r="58" spans="1:4" x14ac:dyDescent="0.3">
      <c r="A58" s="26">
        <v>42235</v>
      </c>
      <c r="B58" s="27">
        <v>94.789970397949219</v>
      </c>
      <c r="C58" s="27">
        <f t="shared" si="0"/>
        <v>4.5516636061740394</v>
      </c>
      <c r="D58" s="29">
        <f t="shared" si="1"/>
        <v>3.2307522823260548E-4</v>
      </c>
    </row>
    <row r="59" spans="1:4" x14ac:dyDescent="0.3">
      <c r="A59" s="26">
        <v>42236</v>
      </c>
      <c r="B59" s="27">
        <v>90.065887451171875</v>
      </c>
      <c r="C59" s="27">
        <f t="shared" si="0"/>
        <v>4.5005414852791708</v>
      </c>
      <c r="D59" s="29">
        <f t="shared" si="1"/>
        <v>-1.1231524409124782E-2</v>
      </c>
    </row>
    <row r="60" spans="1:4" x14ac:dyDescent="0.3">
      <c r="A60" s="26">
        <v>42237</v>
      </c>
      <c r="B60" s="27">
        <v>85.590446472167969</v>
      </c>
      <c r="C60" s="27">
        <f t="shared" si="0"/>
        <v>4.4495736702856608</v>
      </c>
      <c r="D60" s="29">
        <f t="shared" si="1"/>
        <v>-1.1324818393569025E-2</v>
      </c>
    </row>
    <row r="61" spans="1:4" x14ac:dyDescent="0.3">
      <c r="A61" s="26">
        <v>42240</v>
      </c>
      <c r="B61" s="27">
        <v>81.642097473144531</v>
      </c>
      <c r="C61" s="27">
        <f t="shared" si="0"/>
        <v>4.4023450293453816</v>
      </c>
      <c r="D61" s="29">
        <f t="shared" si="1"/>
        <v>-1.0614194626256679E-2</v>
      </c>
    </row>
    <row r="62" spans="1:4" x14ac:dyDescent="0.3">
      <c r="A62" s="26">
        <v>42241</v>
      </c>
      <c r="B62" s="27">
        <v>82.547142028808594</v>
      </c>
      <c r="C62" s="27">
        <f t="shared" si="0"/>
        <v>4.4133695486742459</v>
      </c>
      <c r="D62" s="29">
        <f t="shared" si="1"/>
        <v>2.5042379130615355E-3</v>
      </c>
    </row>
    <row r="63" spans="1:4" x14ac:dyDescent="0.3">
      <c r="A63" s="26">
        <v>42242</v>
      </c>
      <c r="B63" s="27">
        <v>86.714279174804688</v>
      </c>
      <c r="C63" s="27">
        <f t="shared" si="0"/>
        <v>4.4626185665900682</v>
      </c>
      <c r="D63" s="29">
        <f t="shared" si="1"/>
        <v>1.1159051462304115E-2</v>
      </c>
    </row>
    <row r="64" spans="1:4" x14ac:dyDescent="0.3">
      <c r="A64" s="26">
        <v>42243</v>
      </c>
      <c r="B64" s="27">
        <v>89.240432739257813</v>
      </c>
      <c r="C64" s="27">
        <f t="shared" si="0"/>
        <v>4.4913342187150329</v>
      </c>
      <c r="D64" s="29">
        <f t="shared" si="1"/>
        <v>6.4347090607177471E-3</v>
      </c>
    </row>
    <row r="65" spans="1:4" x14ac:dyDescent="0.3">
      <c r="A65" s="26">
        <v>42244</v>
      </c>
      <c r="B65" s="27">
        <v>90.513450622558594</v>
      </c>
      <c r="C65" s="27">
        <f t="shared" si="0"/>
        <v>4.5054984653258119</v>
      </c>
      <c r="D65" s="29">
        <f t="shared" si="1"/>
        <v>3.1536834982703876E-3</v>
      </c>
    </row>
    <row r="66" spans="1:4" x14ac:dyDescent="0.3">
      <c r="A66" s="26">
        <v>42247</v>
      </c>
      <c r="B66" s="27">
        <v>88.942062377929688</v>
      </c>
      <c r="C66" s="27">
        <f t="shared" si="0"/>
        <v>4.4879851732320715</v>
      </c>
      <c r="D66" s="29">
        <f t="shared" si="1"/>
        <v>-3.8870931215541082E-3</v>
      </c>
    </row>
    <row r="67" spans="1:4" x14ac:dyDescent="0.3">
      <c r="A67" s="26">
        <v>42248</v>
      </c>
      <c r="B67" s="27">
        <v>86.754066467285156</v>
      </c>
      <c r="C67" s="27">
        <f t="shared" ref="C67:C130" si="5">LN(B67)</f>
        <v>4.4630772934319127</v>
      </c>
      <c r="D67" s="29">
        <f t="shared" si="1"/>
        <v>-5.5499024258631735E-3</v>
      </c>
    </row>
    <row r="68" spans="1:4" x14ac:dyDescent="0.3">
      <c r="A68" s="26">
        <v>42249</v>
      </c>
      <c r="B68" s="27">
        <v>89.399543762207031</v>
      </c>
      <c r="C68" s="27">
        <f t="shared" si="5"/>
        <v>4.4931155788354289</v>
      </c>
      <c r="D68" s="29">
        <f t="shared" ref="D68:D131" si="6">C68/C67-1</f>
        <v>6.7303977566604001E-3</v>
      </c>
    </row>
    <row r="69" spans="1:4" x14ac:dyDescent="0.3">
      <c r="A69" s="26">
        <v>42250</v>
      </c>
      <c r="B69" s="27">
        <v>87.669044494628906</v>
      </c>
      <c r="C69" s="27">
        <f t="shared" si="5"/>
        <v>4.4735688666546967</v>
      </c>
      <c r="D69" s="29">
        <f t="shared" si="6"/>
        <v>-4.3503693234169249E-3</v>
      </c>
    </row>
    <row r="70" spans="1:4" x14ac:dyDescent="0.3">
      <c r="A70" s="26">
        <v>42251</v>
      </c>
      <c r="B70" s="27">
        <v>87.778457641601563</v>
      </c>
      <c r="C70" s="27">
        <f t="shared" si="5"/>
        <v>4.4748161133789219</v>
      </c>
      <c r="D70" s="29">
        <f t="shared" si="6"/>
        <v>2.788035149121626E-4</v>
      </c>
    </row>
    <row r="71" spans="1:4" x14ac:dyDescent="0.3">
      <c r="A71" s="26">
        <v>42255</v>
      </c>
      <c r="B71" s="27">
        <v>89.041511535644531</v>
      </c>
      <c r="C71" s="27">
        <f t="shared" si="5"/>
        <v>4.4891026827401426</v>
      </c>
      <c r="D71" s="29">
        <f t="shared" si="6"/>
        <v>3.192660658950075E-3</v>
      </c>
    </row>
    <row r="72" spans="1:4" x14ac:dyDescent="0.3">
      <c r="A72" s="26">
        <v>42256</v>
      </c>
      <c r="B72" s="27">
        <v>89.946556091308594</v>
      </c>
      <c r="C72" s="27">
        <f t="shared" si="5"/>
        <v>4.4992156727409398</v>
      </c>
      <c r="D72" s="29">
        <f t="shared" si="6"/>
        <v>2.2527865178223472E-3</v>
      </c>
    </row>
    <row r="73" spans="1:4" x14ac:dyDescent="0.3">
      <c r="A73" s="26">
        <v>42257</v>
      </c>
      <c r="B73" s="27">
        <v>91.4781494140625</v>
      </c>
      <c r="C73" s="27">
        <f t="shared" si="5"/>
        <v>4.516100139545312</v>
      </c>
      <c r="D73" s="29">
        <f t="shared" si="6"/>
        <v>3.7527578210283519E-3</v>
      </c>
    </row>
    <row r="74" spans="1:4" x14ac:dyDescent="0.3">
      <c r="A74" s="26">
        <v>42258</v>
      </c>
      <c r="B74" s="27">
        <v>91.547767639160156</v>
      </c>
      <c r="C74" s="27">
        <f t="shared" si="5"/>
        <v>4.51686088676162</v>
      </c>
      <c r="D74" s="29">
        <f t="shared" si="6"/>
        <v>1.6845224702755068E-4</v>
      </c>
    </row>
    <row r="75" spans="1:4" x14ac:dyDescent="0.3">
      <c r="A75" s="26">
        <v>42261</v>
      </c>
      <c r="B75" s="27">
        <v>91.806343078613281</v>
      </c>
      <c r="C75" s="27">
        <f t="shared" si="5"/>
        <v>4.519681391956297</v>
      </c>
      <c r="D75" s="29">
        <f t="shared" si="6"/>
        <v>6.244392434009427E-4</v>
      </c>
    </row>
    <row r="76" spans="1:4" x14ac:dyDescent="0.3">
      <c r="A76" s="26">
        <v>42262</v>
      </c>
      <c r="B76" s="27">
        <v>92.393119812011719</v>
      </c>
      <c r="C76" s="27">
        <f t="shared" si="5"/>
        <v>4.5260525149663229</v>
      </c>
      <c r="D76" s="29">
        <f t="shared" si="6"/>
        <v>1.4096398523499865E-3</v>
      </c>
    </row>
    <row r="77" spans="1:4" x14ac:dyDescent="0.3">
      <c r="A77" s="26">
        <v>42263</v>
      </c>
      <c r="B77" s="27">
        <v>92.94012451171875</v>
      </c>
      <c r="C77" s="27">
        <f t="shared" si="5"/>
        <v>4.5319554633559429</v>
      </c>
      <c r="D77" s="29">
        <f t="shared" si="6"/>
        <v>1.3042156205878008E-3</v>
      </c>
    </row>
    <row r="78" spans="1:4" x14ac:dyDescent="0.3">
      <c r="A78" s="26">
        <v>42264</v>
      </c>
      <c r="B78" s="27">
        <v>93.825263977050781</v>
      </c>
      <c r="C78" s="27">
        <f t="shared" si="5"/>
        <v>4.5414341585215316</v>
      </c>
      <c r="D78" s="29">
        <f t="shared" si="6"/>
        <v>2.0915243413643925E-3</v>
      </c>
    </row>
    <row r="79" spans="1:4" x14ac:dyDescent="0.3">
      <c r="A79" s="26">
        <v>42265</v>
      </c>
      <c r="B79" s="27">
        <v>93.884941101074219</v>
      </c>
      <c r="C79" s="27">
        <f t="shared" si="5"/>
        <v>4.542070001692756</v>
      </c>
      <c r="D79" s="29">
        <f t="shared" si="6"/>
        <v>1.4000933384261671E-4</v>
      </c>
    </row>
    <row r="80" spans="1:4" x14ac:dyDescent="0.3">
      <c r="A80" s="26">
        <v>42268</v>
      </c>
      <c r="B80" s="27">
        <v>95.028663635253906</v>
      </c>
      <c r="C80" s="27">
        <f t="shared" si="5"/>
        <v>4.5541785685678251</v>
      </c>
      <c r="D80" s="29">
        <f t="shared" si="6"/>
        <v>2.6658697181145552E-3</v>
      </c>
    </row>
    <row r="81" spans="1:4" x14ac:dyDescent="0.3">
      <c r="A81" s="26">
        <v>42269</v>
      </c>
      <c r="B81" s="27">
        <v>92.452796936035156</v>
      </c>
      <c r="C81" s="27">
        <f t="shared" si="5"/>
        <v>4.5266982108750753</v>
      </c>
      <c r="D81" s="29">
        <f t="shared" si="6"/>
        <v>-6.0340975389974183E-3</v>
      </c>
    </row>
    <row r="82" spans="1:4" x14ac:dyDescent="0.3">
      <c r="A82" s="26">
        <v>42270</v>
      </c>
      <c r="B82" s="27">
        <v>93.457283020019531</v>
      </c>
      <c r="C82" s="27">
        <f t="shared" si="5"/>
        <v>4.5375044658034813</v>
      </c>
      <c r="D82" s="29">
        <f t="shared" si="6"/>
        <v>2.3872267213318477E-3</v>
      </c>
    </row>
    <row r="83" spans="1:4" x14ac:dyDescent="0.3">
      <c r="A83" s="26">
        <v>42271</v>
      </c>
      <c r="B83" s="27">
        <v>93.894889831542969</v>
      </c>
      <c r="C83" s="27">
        <f t="shared" si="5"/>
        <v>4.5421759633440013</v>
      </c>
      <c r="D83" s="29">
        <f t="shared" si="6"/>
        <v>1.0295301251439515E-3</v>
      </c>
    </row>
    <row r="84" spans="1:4" x14ac:dyDescent="0.3">
      <c r="A84" s="26">
        <v>42272</v>
      </c>
      <c r="B84" s="27">
        <v>92.263832092285156</v>
      </c>
      <c r="C84" s="27">
        <f t="shared" si="5"/>
        <v>4.5246522130603362</v>
      </c>
      <c r="D84" s="29">
        <f t="shared" si="6"/>
        <v>-3.8580077973826565E-3</v>
      </c>
    </row>
    <row r="85" spans="1:4" x14ac:dyDescent="0.3">
      <c r="A85" s="26">
        <v>42275</v>
      </c>
      <c r="B85" s="27">
        <v>88.723251342773438</v>
      </c>
      <c r="C85" s="27">
        <f t="shared" si="5"/>
        <v>4.4855219896065677</v>
      </c>
      <c r="D85" s="29">
        <f t="shared" si="6"/>
        <v>-8.648227888282678E-3</v>
      </c>
    </row>
    <row r="86" spans="1:4" x14ac:dyDescent="0.3">
      <c r="A86" s="26">
        <v>42276</v>
      </c>
      <c r="B86" s="27">
        <v>86.197120666503906</v>
      </c>
      <c r="C86" s="27">
        <f t="shared" si="5"/>
        <v>4.4566367741709669</v>
      </c>
      <c r="D86" s="29">
        <f t="shared" si="6"/>
        <v>-6.4396552959791187E-3</v>
      </c>
    </row>
    <row r="87" spans="1:4" x14ac:dyDescent="0.3">
      <c r="A87" s="26">
        <v>42277</v>
      </c>
      <c r="B87" s="27">
        <v>89.409500122070313</v>
      </c>
      <c r="C87" s="27">
        <f t="shared" si="5"/>
        <v>4.4932269418812494</v>
      </c>
      <c r="D87" s="29">
        <f t="shared" si="6"/>
        <v>8.2102647275061891E-3</v>
      </c>
    </row>
    <row r="88" spans="1:4" x14ac:dyDescent="0.3">
      <c r="A88" s="26">
        <v>42278</v>
      </c>
      <c r="B88" s="27">
        <v>90.453765869140625</v>
      </c>
      <c r="C88" s="27">
        <f t="shared" si="5"/>
        <v>4.5048388457909692</v>
      </c>
      <c r="D88" s="29">
        <f t="shared" si="6"/>
        <v>2.5843128023392836E-3</v>
      </c>
    </row>
    <row r="89" spans="1:4" x14ac:dyDescent="0.3">
      <c r="A89" s="26">
        <v>42279</v>
      </c>
      <c r="B89" s="27">
        <v>91.567657470703125</v>
      </c>
      <c r="C89" s="27">
        <f t="shared" si="5"/>
        <v>4.5170781249501477</v>
      </c>
      <c r="D89" s="29">
        <f t="shared" si="6"/>
        <v>2.7169183134296837E-3</v>
      </c>
    </row>
    <row r="90" spans="1:4" x14ac:dyDescent="0.3">
      <c r="A90" s="26">
        <v>42282</v>
      </c>
      <c r="B90" s="27">
        <v>93.497077941894531</v>
      </c>
      <c r="C90" s="27">
        <f t="shared" si="5"/>
        <v>4.5379301838479416</v>
      </c>
      <c r="D90" s="29">
        <f t="shared" si="6"/>
        <v>4.6162714748316791E-3</v>
      </c>
    </row>
    <row r="91" spans="1:4" x14ac:dyDescent="0.3">
      <c r="A91" s="26">
        <v>42283</v>
      </c>
      <c r="B91" s="27">
        <v>92.293670654296875</v>
      </c>
      <c r="C91" s="27">
        <f t="shared" si="5"/>
        <v>4.5249755655312756</v>
      </c>
      <c r="D91" s="29">
        <f t="shared" si="6"/>
        <v>-2.8547416535353864E-3</v>
      </c>
    </row>
    <row r="92" spans="1:4" x14ac:dyDescent="0.3">
      <c r="A92" s="26">
        <v>42284</v>
      </c>
      <c r="B92" s="27">
        <v>91.895858764648438</v>
      </c>
      <c r="C92" s="27">
        <f t="shared" si="5"/>
        <v>4.5206559659376868</v>
      </c>
      <c r="D92" s="29">
        <f t="shared" si="6"/>
        <v>-9.5461279978903413E-4</v>
      </c>
    </row>
    <row r="93" spans="1:4" x14ac:dyDescent="0.3">
      <c r="A93" s="26">
        <v>42285</v>
      </c>
      <c r="B93" s="27">
        <v>91.965476989746094</v>
      </c>
      <c r="C93" s="27">
        <f t="shared" si="5"/>
        <v>4.5214132565136431</v>
      </c>
      <c r="D93" s="29">
        <f t="shared" si="6"/>
        <v>1.6751785175928013E-4</v>
      </c>
    </row>
    <row r="94" spans="1:4" x14ac:dyDescent="0.3">
      <c r="A94" s="26">
        <v>42286</v>
      </c>
      <c r="B94" s="27">
        <v>92.73126220703125</v>
      </c>
      <c r="C94" s="27">
        <f t="shared" si="5"/>
        <v>4.5297056563557661</v>
      </c>
      <c r="D94" s="29">
        <f t="shared" si="6"/>
        <v>1.8340282941791131E-3</v>
      </c>
    </row>
    <row r="95" spans="1:4" x14ac:dyDescent="0.3">
      <c r="A95" s="26">
        <v>42289</v>
      </c>
      <c r="B95" s="27">
        <v>93.745704650878906</v>
      </c>
      <c r="C95" s="27">
        <f t="shared" si="5"/>
        <v>4.5405858467435953</v>
      </c>
      <c r="D95" s="29">
        <f t="shared" si="6"/>
        <v>2.4019641039065842E-3</v>
      </c>
    </row>
    <row r="96" spans="1:4" x14ac:dyDescent="0.3">
      <c r="A96" s="26">
        <v>42290</v>
      </c>
      <c r="B96" s="27">
        <v>93.606468200683594</v>
      </c>
      <c r="C96" s="27">
        <f t="shared" si="5"/>
        <v>4.5390994858040843</v>
      </c>
      <c r="D96" s="29">
        <f t="shared" si="6"/>
        <v>-3.273500358058623E-4</v>
      </c>
    </row>
    <row r="97" spans="1:4" x14ac:dyDescent="0.3">
      <c r="A97" s="26">
        <v>42291</v>
      </c>
      <c r="B97" s="27">
        <v>93.556747436523438</v>
      </c>
      <c r="C97" s="27">
        <f t="shared" si="5"/>
        <v>4.5385681766452786</v>
      </c>
      <c r="D97" s="29">
        <f t="shared" si="6"/>
        <v>-1.1705166640818554E-4</v>
      </c>
    </row>
    <row r="98" spans="1:4" x14ac:dyDescent="0.3">
      <c r="A98" s="26">
        <v>42292</v>
      </c>
      <c r="B98" s="27">
        <v>95.436439514160156</v>
      </c>
      <c r="C98" s="27">
        <f t="shared" si="5"/>
        <v>4.5584604710812027</v>
      </c>
      <c r="D98" s="29">
        <f t="shared" si="6"/>
        <v>4.382944942479039E-3</v>
      </c>
    </row>
    <row r="99" spans="1:4" x14ac:dyDescent="0.3">
      <c r="A99" s="26">
        <v>42293</v>
      </c>
      <c r="B99" s="27">
        <v>97.007820129394531</v>
      </c>
      <c r="C99" s="27">
        <f t="shared" si="5"/>
        <v>4.5747915951444398</v>
      </c>
      <c r="D99" s="29">
        <f t="shared" si="6"/>
        <v>3.5825963978062259E-3</v>
      </c>
    </row>
    <row r="100" spans="1:4" x14ac:dyDescent="0.3">
      <c r="A100" s="26">
        <v>42296</v>
      </c>
      <c r="B100" s="27">
        <v>97.932731628417969</v>
      </c>
      <c r="C100" s="27">
        <f t="shared" si="5"/>
        <v>4.5842808310271081</v>
      </c>
      <c r="D100" s="29">
        <f t="shared" si="6"/>
        <v>2.0742444077102018E-3</v>
      </c>
    </row>
    <row r="101" spans="1:4" x14ac:dyDescent="0.3">
      <c r="A101" s="26">
        <v>42297</v>
      </c>
      <c r="B101" s="27">
        <v>96.470756530761719</v>
      </c>
      <c r="C101" s="27">
        <f t="shared" si="5"/>
        <v>4.5692399212866945</v>
      </c>
      <c r="D101" s="29">
        <f t="shared" si="6"/>
        <v>-3.2809747689570568E-3</v>
      </c>
    </row>
    <row r="102" spans="1:4" x14ac:dyDescent="0.3">
      <c r="A102" s="26">
        <v>42298</v>
      </c>
      <c r="B102" s="27">
        <v>96.580154418945313</v>
      </c>
      <c r="C102" s="27">
        <f t="shared" si="5"/>
        <v>4.5703732793149534</v>
      </c>
      <c r="D102" s="29">
        <f t="shared" si="6"/>
        <v>2.4804082249629822E-4</v>
      </c>
    </row>
    <row r="103" spans="1:4" x14ac:dyDescent="0.3">
      <c r="A103" s="26">
        <v>42299</v>
      </c>
      <c r="B103" s="27">
        <v>99.126190185546875</v>
      </c>
      <c r="C103" s="27">
        <f t="shared" si="5"/>
        <v>4.5963936867989128</v>
      </c>
      <c r="D103" s="29">
        <f t="shared" si="6"/>
        <v>5.6932784028220773E-3</v>
      </c>
    </row>
    <row r="104" spans="1:4" x14ac:dyDescent="0.3">
      <c r="A104" s="26">
        <v>42300</v>
      </c>
      <c r="B104" s="27">
        <v>101.632438659668</v>
      </c>
      <c r="C104" s="27">
        <f t="shared" si="5"/>
        <v>4.621362762332299</v>
      </c>
      <c r="D104" s="29">
        <f t="shared" si="6"/>
        <v>5.4323187339453405E-3</v>
      </c>
    </row>
    <row r="105" spans="1:4" x14ac:dyDescent="0.3">
      <c r="A105" s="26">
        <v>42303</v>
      </c>
      <c r="B105" s="27">
        <v>103.2038116455078</v>
      </c>
      <c r="C105" s="27">
        <f t="shared" si="5"/>
        <v>4.6367057869148924</v>
      </c>
      <c r="D105" s="29">
        <f t="shared" si="6"/>
        <v>3.3200216844371244E-3</v>
      </c>
    </row>
    <row r="106" spans="1:4" x14ac:dyDescent="0.3">
      <c r="A106" s="26">
        <v>42304</v>
      </c>
      <c r="B106" s="27">
        <v>103.1341857910156</v>
      </c>
      <c r="C106" s="27">
        <f t="shared" si="5"/>
        <v>4.6360309150250831</v>
      </c>
      <c r="D106" s="29">
        <f t="shared" si="6"/>
        <v>-1.4554986251524848E-4</v>
      </c>
    </row>
    <row r="107" spans="1:4" x14ac:dyDescent="0.3">
      <c r="A107" s="26">
        <v>42305</v>
      </c>
      <c r="B107" s="27">
        <v>103.631462097168</v>
      </c>
      <c r="C107" s="27">
        <f t="shared" si="5"/>
        <v>4.6408409719180588</v>
      </c>
      <c r="D107" s="29">
        <f t="shared" si="6"/>
        <v>1.0375377086866422E-3</v>
      </c>
    </row>
    <row r="108" spans="1:4" x14ac:dyDescent="0.3">
      <c r="A108" s="26">
        <v>42306</v>
      </c>
      <c r="B108" s="27">
        <v>104.30776214599609</v>
      </c>
      <c r="C108" s="27">
        <f t="shared" si="5"/>
        <v>4.6473457805798404</v>
      </c>
      <c r="D108" s="29">
        <f t="shared" si="6"/>
        <v>1.4016443789266475E-3</v>
      </c>
    </row>
    <row r="109" spans="1:4" x14ac:dyDescent="0.3">
      <c r="A109" s="26">
        <v>42307</v>
      </c>
      <c r="B109" s="27">
        <v>101.41363525390619</v>
      </c>
      <c r="C109" s="27">
        <f t="shared" si="5"/>
        <v>4.6192075520764355</v>
      </c>
      <c r="D109" s="29">
        <f t="shared" si="6"/>
        <v>-6.0546879513436735E-3</v>
      </c>
    </row>
    <row r="110" spans="1:4" x14ac:dyDescent="0.3">
      <c r="A110" s="26">
        <v>42310</v>
      </c>
      <c r="B110" s="27">
        <v>102.74632263183589</v>
      </c>
      <c r="C110" s="27">
        <f t="shared" si="5"/>
        <v>4.6322630632647019</v>
      </c>
      <c r="D110" s="29">
        <f t="shared" si="6"/>
        <v>2.8263530142518256E-3</v>
      </c>
    </row>
    <row r="111" spans="1:4" x14ac:dyDescent="0.3">
      <c r="A111" s="26">
        <v>42311</v>
      </c>
      <c r="B111" s="27">
        <v>102.0203094482422</v>
      </c>
      <c r="C111" s="27">
        <f t="shared" si="5"/>
        <v>4.6251719057017286</v>
      </c>
      <c r="D111" s="29">
        <f t="shared" si="6"/>
        <v>-1.5308192704357459E-3</v>
      </c>
    </row>
    <row r="112" spans="1:4" x14ac:dyDescent="0.3">
      <c r="A112" s="26">
        <v>42312</v>
      </c>
      <c r="B112" s="27">
        <v>103.3728942871094</v>
      </c>
      <c r="C112" s="27">
        <f t="shared" si="5"/>
        <v>4.638342783483278</v>
      </c>
      <c r="D112" s="29">
        <f t="shared" si="6"/>
        <v>2.8476515143822656E-3</v>
      </c>
    </row>
    <row r="113" spans="1:4" x14ac:dyDescent="0.3">
      <c r="A113" s="26">
        <v>42313</v>
      </c>
      <c r="B113" s="27">
        <v>108.1665954589844</v>
      </c>
      <c r="C113" s="27">
        <f t="shared" si="5"/>
        <v>4.6836725891613442</v>
      </c>
      <c r="D113" s="29">
        <f t="shared" si="6"/>
        <v>9.7728451289718077E-3</v>
      </c>
    </row>
    <row r="114" spans="1:4" x14ac:dyDescent="0.3">
      <c r="A114" s="26">
        <v>42314</v>
      </c>
      <c r="B114" s="27">
        <v>106.51564788818359</v>
      </c>
      <c r="C114" s="27">
        <f t="shared" si="5"/>
        <v>4.6682919028840866</v>
      </c>
      <c r="D114" s="29">
        <f t="shared" si="6"/>
        <v>-3.283894419274902E-3</v>
      </c>
    </row>
    <row r="115" spans="1:4" x14ac:dyDescent="0.3">
      <c r="A115" s="26">
        <v>42317</v>
      </c>
      <c r="B115" s="27">
        <v>105.9089813232422</v>
      </c>
      <c r="C115" s="27">
        <f t="shared" si="5"/>
        <v>4.6625800584847275</v>
      </c>
      <c r="D115" s="29">
        <f t="shared" si="6"/>
        <v>-1.2235405407768907E-3</v>
      </c>
    </row>
    <row r="116" spans="1:4" x14ac:dyDescent="0.3">
      <c r="A116" s="26">
        <v>42318</v>
      </c>
      <c r="B116" s="27">
        <v>107.3212356567383</v>
      </c>
      <c r="C116" s="27">
        <f t="shared" si="5"/>
        <v>4.6758265392512808</v>
      </c>
      <c r="D116" s="29">
        <f t="shared" si="6"/>
        <v>2.8410194785712939E-3</v>
      </c>
    </row>
    <row r="117" spans="1:4" x14ac:dyDescent="0.3">
      <c r="A117" s="26">
        <v>42319</v>
      </c>
      <c r="B117" s="27">
        <v>108.4152297973633</v>
      </c>
      <c r="C117" s="27">
        <f t="shared" si="5"/>
        <v>4.685968575422506</v>
      </c>
      <c r="D117" s="29">
        <f t="shared" si="6"/>
        <v>2.1690360166459755E-3</v>
      </c>
    </row>
    <row r="118" spans="1:4" x14ac:dyDescent="0.3">
      <c r="A118" s="26">
        <v>42320</v>
      </c>
      <c r="B118" s="27">
        <v>107.4306259155273</v>
      </c>
      <c r="C118" s="27">
        <f t="shared" si="5"/>
        <v>4.676845298925346</v>
      </c>
      <c r="D118" s="29">
        <f t="shared" si="6"/>
        <v>-1.9469350573563249E-3</v>
      </c>
    </row>
    <row r="119" spans="1:4" x14ac:dyDescent="0.3">
      <c r="A119" s="26">
        <v>42321</v>
      </c>
      <c r="B119" s="27">
        <v>103.38282775878911</v>
      </c>
      <c r="C119" s="27">
        <f t="shared" si="5"/>
        <v>4.6384388724484493</v>
      </c>
      <c r="D119" s="29">
        <f t="shared" si="6"/>
        <v>-8.2120369655420689E-3</v>
      </c>
    </row>
    <row r="120" spans="1:4" x14ac:dyDescent="0.3">
      <c r="A120" s="26">
        <v>42324</v>
      </c>
      <c r="B120" s="27">
        <v>103.4723434448242</v>
      </c>
      <c r="C120" s="27">
        <f t="shared" si="5"/>
        <v>4.6393043639041576</v>
      </c>
      <c r="D120" s="29">
        <f t="shared" si="6"/>
        <v>1.8659110953245239E-4</v>
      </c>
    </row>
    <row r="121" spans="1:4" x14ac:dyDescent="0.3">
      <c r="A121" s="26">
        <v>42325</v>
      </c>
      <c r="B121" s="27">
        <v>104.5563888549805</v>
      </c>
      <c r="C121" s="27">
        <f t="shared" si="5"/>
        <v>4.6497265321375112</v>
      </c>
      <c r="D121" s="29">
        <f t="shared" si="6"/>
        <v>2.24649374471797E-3</v>
      </c>
    </row>
    <row r="122" spans="1:4" x14ac:dyDescent="0.3">
      <c r="A122" s="26">
        <v>42326</v>
      </c>
      <c r="B122" s="27">
        <v>107.18199157714839</v>
      </c>
      <c r="C122" s="27">
        <f t="shared" si="5"/>
        <v>4.6745282455058277</v>
      </c>
      <c r="D122" s="29">
        <f t="shared" si="6"/>
        <v>5.3340154946521778E-3</v>
      </c>
    </row>
    <row r="123" spans="1:4" x14ac:dyDescent="0.3">
      <c r="A123" s="26">
        <v>42327</v>
      </c>
      <c r="B123" s="27">
        <v>105.6802291870117</v>
      </c>
      <c r="C123" s="27">
        <f t="shared" si="5"/>
        <v>4.6604178289003224</v>
      </c>
      <c r="D123" s="29">
        <f t="shared" si="6"/>
        <v>-3.0185755362739375E-3</v>
      </c>
    </row>
    <row r="124" spans="1:4" x14ac:dyDescent="0.3">
      <c r="A124" s="26">
        <v>42328</v>
      </c>
      <c r="B124" s="27">
        <v>106.7344436645508</v>
      </c>
      <c r="C124" s="27">
        <f t="shared" si="5"/>
        <v>4.6703439146937757</v>
      </c>
      <c r="D124" s="29">
        <f t="shared" si="6"/>
        <v>2.1298703588119583E-3</v>
      </c>
    </row>
    <row r="125" spans="1:4" x14ac:dyDescent="0.3">
      <c r="A125" s="26">
        <v>42331</v>
      </c>
      <c r="B125" s="27">
        <v>106.366455078125</v>
      </c>
      <c r="C125" s="27">
        <f t="shared" si="5"/>
        <v>4.6668902553768019</v>
      </c>
      <c r="D125" s="29">
        <f t="shared" si="6"/>
        <v>-7.3948715127980513E-4</v>
      </c>
    </row>
    <row r="126" spans="1:4" x14ac:dyDescent="0.3">
      <c r="A126" s="26">
        <v>42332</v>
      </c>
      <c r="B126" s="27">
        <v>105.16306304931641</v>
      </c>
      <c r="C126" s="27">
        <f t="shared" si="5"/>
        <v>4.6555121269509518</v>
      </c>
      <c r="D126" s="29">
        <f t="shared" si="6"/>
        <v>-2.4380535652710478E-3</v>
      </c>
    </row>
    <row r="127" spans="1:4" x14ac:dyDescent="0.3">
      <c r="A127" s="26">
        <v>42333</v>
      </c>
      <c r="B127" s="27">
        <v>104.83486175537109</v>
      </c>
      <c r="C127" s="27">
        <f t="shared" si="5"/>
        <v>4.6523863669085959</v>
      </c>
      <c r="D127" s="29">
        <f t="shared" si="6"/>
        <v>-6.7141056818664779E-4</v>
      </c>
    </row>
    <row r="128" spans="1:4" x14ac:dyDescent="0.3">
      <c r="A128" s="26">
        <v>42335</v>
      </c>
      <c r="B128" s="27">
        <v>104.87464904785161</v>
      </c>
      <c r="C128" s="27">
        <f t="shared" si="5"/>
        <v>4.6527658183965661</v>
      </c>
      <c r="D128" s="29">
        <f t="shared" si="6"/>
        <v>8.1560613853781661E-5</v>
      </c>
    </row>
    <row r="129" spans="1:4" x14ac:dyDescent="0.3">
      <c r="A129" s="26">
        <v>42338</v>
      </c>
      <c r="B129" s="27">
        <v>103.67124938964839</v>
      </c>
      <c r="C129" s="27">
        <f t="shared" si="5"/>
        <v>4.6412248288650666</v>
      </c>
      <c r="D129" s="29">
        <f t="shared" si="6"/>
        <v>-2.4804578571024916E-3</v>
      </c>
    </row>
    <row r="130" spans="1:4" x14ac:dyDescent="0.3">
      <c r="A130" s="26">
        <v>42339</v>
      </c>
      <c r="B130" s="27">
        <v>106.53553771972661</v>
      </c>
      <c r="C130" s="27">
        <f t="shared" si="5"/>
        <v>4.6684786169973549</v>
      </c>
      <c r="D130" s="29">
        <f t="shared" si="6"/>
        <v>5.8721111640163137E-3</v>
      </c>
    </row>
    <row r="131" spans="1:4" x14ac:dyDescent="0.3">
      <c r="A131" s="26">
        <v>42340</v>
      </c>
      <c r="B131" s="27">
        <v>105.49127197265619</v>
      </c>
      <c r="C131" s="27">
        <f t="shared" ref="C131:C194" si="7">LN(B131)</f>
        <v>4.6586282193767934</v>
      </c>
      <c r="D131" s="29">
        <f t="shared" si="6"/>
        <v>-2.1099802373941712E-3</v>
      </c>
    </row>
    <row r="132" spans="1:4" x14ac:dyDescent="0.3">
      <c r="A132" s="26">
        <v>42341</v>
      </c>
      <c r="B132" s="27">
        <v>103.81048583984381</v>
      </c>
      <c r="C132" s="27">
        <f t="shared" si="7"/>
        <v>4.6425669852813209</v>
      </c>
      <c r="D132" s="29">
        <f t="shared" ref="D132:D195" si="8">C132/C131-1</f>
        <v>-3.4476316501643733E-3</v>
      </c>
    </row>
    <row r="133" spans="1:4" x14ac:dyDescent="0.3">
      <c r="A133" s="26">
        <v>42342</v>
      </c>
      <c r="B133" s="27">
        <v>105.6006698608398</v>
      </c>
      <c r="C133" s="27">
        <f t="shared" si="7"/>
        <v>4.6596647146312069</v>
      </c>
      <c r="D133" s="29">
        <f t="shared" si="8"/>
        <v>3.6828180194474758E-3</v>
      </c>
    </row>
    <row r="134" spans="1:4" x14ac:dyDescent="0.3">
      <c r="A134" s="26">
        <v>42345</v>
      </c>
      <c r="B134" s="27">
        <v>105.0337753295898</v>
      </c>
      <c r="C134" s="27">
        <f t="shared" si="7"/>
        <v>4.6542819682385002</v>
      </c>
      <c r="D134" s="29">
        <f t="shared" si="8"/>
        <v>-1.1551789071443386E-3</v>
      </c>
    </row>
    <row r="135" spans="1:4" x14ac:dyDescent="0.3">
      <c r="A135" s="26">
        <v>42346</v>
      </c>
      <c r="B135" s="27">
        <v>105.9089813232422</v>
      </c>
      <c r="C135" s="27">
        <f t="shared" si="7"/>
        <v>4.6625800584847275</v>
      </c>
      <c r="D135" s="29">
        <f t="shared" si="8"/>
        <v>1.7828937530761646E-3</v>
      </c>
    </row>
    <row r="136" spans="1:4" x14ac:dyDescent="0.3">
      <c r="A136" s="26">
        <v>42347</v>
      </c>
      <c r="B136" s="27">
        <v>104.02928161621089</v>
      </c>
      <c r="C136" s="27">
        <f t="shared" si="7"/>
        <v>4.6446724135145105</v>
      </c>
      <c r="D136" s="29">
        <f t="shared" si="8"/>
        <v>-3.8407158151910759E-3</v>
      </c>
    </row>
    <row r="137" spans="1:4" x14ac:dyDescent="0.3">
      <c r="A137" s="26">
        <v>42348</v>
      </c>
      <c r="B137" s="27">
        <v>104.8448104858398</v>
      </c>
      <c r="C137" s="27">
        <f t="shared" si="7"/>
        <v>4.6524812614720013</v>
      </c>
      <c r="D137" s="29">
        <f t="shared" si="8"/>
        <v>1.6812483771233566E-3</v>
      </c>
    </row>
    <row r="138" spans="1:4" x14ac:dyDescent="0.3">
      <c r="A138" s="26">
        <v>42349</v>
      </c>
      <c r="B138" s="27">
        <v>101.5628204345703</v>
      </c>
      <c r="C138" s="27">
        <f t="shared" si="7"/>
        <v>4.6206775275671559</v>
      </c>
      <c r="D138" s="29">
        <f t="shared" si="8"/>
        <v>-6.8358650185692538E-3</v>
      </c>
    </row>
    <row r="139" spans="1:4" x14ac:dyDescent="0.3">
      <c r="A139" s="26">
        <v>42352</v>
      </c>
      <c r="B139" s="27">
        <v>104.08896636962891</v>
      </c>
      <c r="C139" s="27">
        <f t="shared" si="7"/>
        <v>4.6452459793179122</v>
      </c>
      <c r="D139" s="29">
        <f t="shared" si="8"/>
        <v>5.3170669461739539E-3</v>
      </c>
    </row>
    <row r="140" spans="1:4" x14ac:dyDescent="0.3">
      <c r="A140" s="26">
        <v>42353</v>
      </c>
      <c r="B140" s="27">
        <v>103.9795608520508</v>
      </c>
      <c r="C140" s="27">
        <f t="shared" si="7"/>
        <v>4.6441943495580267</v>
      </c>
      <c r="D140" s="29">
        <f t="shared" si="8"/>
        <v>-2.2638839031730029E-4</v>
      </c>
    </row>
    <row r="141" spans="1:4" x14ac:dyDescent="0.3">
      <c r="A141" s="26">
        <v>42354</v>
      </c>
      <c r="B141" s="27">
        <v>106.20733642578119</v>
      </c>
      <c r="C141" s="27">
        <f t="shared" si="7"/>
        <v>4.6653931876438861</v>
      </c>
      <c r="D141" s="29">
        <f t="shared" si="8"/>
        <v>4.5645889233461023E-3</v>
      </c>
    </row>
    <row r="142" spans="1:4" x14ac:dyDescent="0.3">
      <c r="A142" s="26">
        <v>42355</v>
      </c>
      <c r="B142" s="27">
        <v>105.64044189453119</v>
      </c>
      <c r="C142" s="27">
        <f t="shared" si="7"/>
        <v>4.6600412704430072</v>
      </c>
      <c r="D142" s="29">
        <f t="shared" si="8"/>
        <v>-1.1471524447399517E-3</v>
      </c>
    </row>
    <row r="143" spans="1:4" x14ac:dyDescent="0.3">
      <c r="A143" s="26">
        <v>42356</v>
      </c>
      <c r="B143" s="27">
        <v>103.4723434448242</v>
      </c>
      <c r="C143" s="27">
        <f t="shared" si="7"/>
        <v>4.6393043639041576</v>
      </c>
      <c r="D143" s="29">
        <f t="shared" si="8"/>
        <v>-4.4499405338696008E-3</v>
      </c>
    </row>
    <row r="144" spans="1:4" x14ac:dyDescent="0.3">
      <c r="A144" s="26">
        <v>42359</v>
      </c>
      <c r="B144" s="27">
        <v>104.198356628418</v>
      </c>
      <c r="C144" s="27">
        <f t="shared" si="7"/>
        <v>4.6462963578745331</v>
      </c>
      <c r="D144" s="29">
        <f t="shared" si="8"/>
        <v>1.5071212022164104E-3</v>
      </c>
    </row>
    <row r="145" spans="1:4" x14ac:dyDescent="0.3">
      <c r="A145" s="26">
        <v>42360</v>
      </c>
      <c r="B145" s="27">
        <v>104.9343185424805</v>
      </c>
      <c r="C145" s="27">
        <f t="shared" si="7"/>
        <v>4.6533346167365313</v>
      </c>
      <c r="D145" s="29">
        <f t="shared" si="8"/>
        <v>1.5148105759696939E-3</v>
      </c>
    </row>
    <row r="146" spans="1:4" x14ac:dyDescent="0.3">
      <c r="A146" s="26">
        <v>42361</v>
      </c>
      <c r="B146" s="27">
        <v>104.0591201782227</v>
      </c>
      <c r="C146" s="27">
        <f t="shared" si="7"/>
        <v>4.6449592008794864</v>
      </c>
      <c r="D146" s="29">
        <f t="shared" si="8"/>
        <v>-1.7998739714356615E-3</v>
      </c>
    </row>
    <row r="147" spans="1:4" x14ac:dyDescent="0.3">
      <c r="A147" s="26">
        <v>42362</v>
      </c>
      <c r="B147" s="27">
        <v>104.44699859619141</v>
      </c>
      <c r="C147" s="27">
        <f t="shared" si="7"/>
        <v>4.648679752273206</v>
      </c>
      <c r="D147" s="29">
        <f t="shared" si="8"/>
        <v>8.0098688337559842E-4</v>
      </c>
    </row>
    <row r="148" spans="1:4" x14ac:dyDescent="0.3">
      <c r="A148" s="26">
        <v>42366</v>
      </c>
      <c r="B148" s="27">
        <v>105.35203552246089</v>
      </c>
      <c r="C148" s="27">
        <f t="shared" si="7"/>
        <v>4.6573074615866616</v>
      </c>
      <c r="D148" s="29">
        <f t="shared" si="8"/>
        <v>1.8559483064490845E-3</v>
      </c>
    </row>
    <row r="149" spans="1:4" x14ac:dyDescent="0.3">
      <c r="A149" s="26">
        <v>42367</v>
      </c>
      <c r="B149" s="27">
        <v>106.67478179931641</v>
      </c>
      <c r="C149" s="27">
        <f t="shared" si="7"/>
        <v>4.6697847836003659</v>
      </c>
      <c r="D149" s="29">
        <f t="shared" si="8"/>
        <v>2.6790848825457569E-3</v>
      </c>
    </row>
    <row r="150" spans="1:4" x14ac:dyDescent="0.3">
      <c r="A150" s="26">
        <v>42368</v>
      </c>
      <c r="B150" s="27">
        <v>105.64044189453119</v>
      </c>
      <c r="C150" s="27">
        <f t="shared" si="7"/>
        <v>4.6600412704430072</v>
      </c>
      <c r="D150" s="29">
        <f t="shared" si="8"/>
        <v>-2.0865015431924538E-3</v>
      </c>
    </row>
    <row r="151" spans="1:4" x14ac:dyDescent="0.3">
      <c r="A151" s="26">
        <v>42369</v>
      </c>
      <c r="B151" s="27">
        <v>104.08896636962891</v>
      </c>
      <c r="C151" s="27">
        <f t="shared" si="7"/>
        <v>4.6452459793179122</v>
      </c>
      <c r="D151" s="29">
        <f t="shared" si="8"/>
        <v>-3.17492705889455E-3</v>
      </c>
    </row>
    <row r="152" spans="1:4" x14ac:dyDescent="0.3">
      <c r="A152" s="26">
        <v>42373</v>
      </c>
      <c r="B152" s="27">
        <v>101.6622772216797</v>
      </c>
      <c r="C152" s="27">
        <f t="shared" si="7"/>
        <v>4.6216563121385166</v>
      </c>
      <c r="D152" s="29">
        <f t="shared" si="8"/>
        <v>-5.0782385441856537E-3</v>
      </c>
    </row>
    <row r="153" spans="1:4" x14ac:dyDescent="0.3">
      <c r="A153" s="26">
        <v>42374</v>
      </c>
      <c r="B153" s="27">
        <v>102.16949462890619</v>
      </c>
      <c r="C153" s="27">
        <f t="shared" si="7"/>
        <v>4.6266331462164896</v>
      </c>
      <c r="D153" s="29">
        <f t="shared" si="8"/>
        <v>1.0768507525973359E-3</v>
      </c>
    </row>
    <row r="154" spans="1:4" x14ac:dyDescent="0.3">
      <c r="A154" s="26">
        <v>42375</v>
      </c>
      <c r="B154" s="27">
        <v>102.4081726074219</v>
      </c>
      <c r="C154" s="27">
        <f t="shared" si="7"/>
        <v>4.6289665200400636</v>
      </c>
      <c r="D154" s="29">
        <f t="shared" si="8"/>
        <v>5.0433517199910405E-4</v>
      </c>
    </row>
    <row r="155" spans="1:4" x14ac:dyDescent="0.3">
      <c r="A155" s="26">
        <v>42376</v>
      </c>
      <c r="B155" s="27">
        <v>97.385734558105469</v>
      </c>
      <c r="C155" s="27">
        <f t="shared" si="7"/>
        <v>4.5786797374793693</v>
      </c>
      <c r="D155" s="29">
        <f t="shared" si="8"/>
        <v>-1.0863501030519251E-2</v>
      </c>
    </row>
    <row r="156" spans="1:4" x14ac:dyDescent="0.3">
      <c r="A156" s="26">
        <v>42377</v>
      </c>
      <c r="B156" s="27">
        <v>96.798957824707031</v>
      </c>
      <c r="C156" s="27">
        <f t="shared" si="7"/>
        <v>4.5726362279508868</v>
      </c>
      <c r="D156" s="29">
        <f t="shared" si="8"/>
        <v>-1.3199240556207581E-3</v>
      </c>
    </row>
    <row r="157" spans="1:4" x14ac:dyDescent="0.3">
      <c r="A157" s="26">
        <v>42380</v>
      </c>
      <c r="B157" s="27">
        <v>96.977981567382813</v>
      </c>
      <c r="C157" s="27">
        <f t="shared" si="7"/>
        <v>4.5744839585856187</v>
      </c>
      <c r="D157" s="29">
        <f t="shared" si="8"/>
        <v>4.0408432742533584E-4</v>
      </c>
    </row>
    <row r="158" spans="1:4" x14ac:dyDescent="0.3">
      <c r="A158" s="26">
        <v>42381</v>
      </c>
      <c r="B158" s="27">
        <v>98.827827453613281</v>
      </c>
      <c r="C158" s="27">
        <f t="shared" si="7"/>
        <v>4.5933792194854695</v>
      </c>
      <c r="D158" s="29">
        <f t="shared" si="8"/>
        <v>4.1305775844697745E-3</v>
      </c>
    </row>
    <row r="159" spans="1:4" x14ac:dyDescent="0.3">
      <c r="A159" s="26">
        <v>42382</v>
      </c>
      <c r="B159" s="27">
        <v>94.919273376464844</v>
      </c>
      <c r="C159" s="27">
        <f t="shared" si="7"/>
        <v>4.5530267764230583</v>
      </c>
      <c r="D159" s="29">
        <f t="shared" si="8"/>
        <v>-8.7849143591787193E-3</v>
      </c>
    </row>
    <row r="160" spans="1:4" x14ac:dyDescent="0.3">
      <c r="A160" s="26">
        <v>42383</v>
      </c>
      <c r="B160" s="27">
        <v>97.833282470703125</v>
      </c>
      <c r="C160" s="27">
        <f t="shared" si="7"/>
        <v>4.5832648307093082</v>
      </c>
      <c r="D160" s="29">
        <f t="shared" si="8"/>
        <v>6.6413082485770047E-3</v>
      </c>
    </row>
    <row r="161" spans="1:4" x14ac:dyDescent="0.3">
      <c r="A161" s="26">
        <v>42384</v>
      </c>
      <c r="B161" s="27">
        <v>94.451835632324219</v>
      </c>
      <c r="C161" s="27">
        <f t="shared" si="7"/>
        <v>4.5480900287223909</v>
      </c>
      <c r="D161" s="29">
        <f t="shared" si="8"/>
        <v>-7.6746169567237787E-3</v>
      </c>
    </row>
    <row r="162" spans="1:4" x14ac:dyDescent="0.3">
      <c r="A162" s="26">
        <v>42388</v>
      </c>
      <c r="B162" s="27">
        <v>94.740242004394531</v>
      </c>
      <c r="C162" s="27">
        <f t="shared" si="7"/>
        <v>4.5511388518980276</v>
      </c>
      <c r="D162" s="29">
        <f t="shared" si="8"/>
        <v>6.7035242406876527E-4</v>
      </c>
    </row>
    <row r="163" spans="1:4" x14ac:dyDescent="0.3">
      <c r="A163" s="26">
        <v>42389</v>
      </c>
      <c r="B163" s="27">
        <v>93.835212707519531</v>
      </c>
      <c r="C163" s="27">
        <f t="shared" si="7"/>
        <v>4.5415401875656203</v>
      </c>
      <c r="D163" s="29">
        <f t="shared" si="8"/>
        <v>-2.1090686627599498E-3</v>
      </c>
    </row>
    <row r="164" spans="1:4" x14ac:dyDescent="0.3">
      <c r="A164" s="26">
        <v>42390</v>
      </c>
      <c r="B164" s="27">
        <v>93.646247863769531</v>
      </c>
      <c r="C164" s="27">
        <f t="shared" si="7"/>
        <v>4.5395243625644364</v>
      </c>
      <c r="D164" s="29">
        <f t="shared" si="8"/>
        <v>-4.4386373739535578E-4</v>
      </c>
    </row>
    <row r="165" spans="1:4" x14ac:dyDescent="0.3">
      <c r="A165" s="26">
        <v>42391</v>
      </c>
      <c r="B165" s="27">
        <v>97.405624389648438</v>
      </c>
      <c r="C165" s="27">
        <f t="shared" si="7"/>
        <v>4.5788839542548931</v>
      </c>
      <c r="D165" s="29">
        <f t="shared" si="8"/>
        <v>8.6704219532423021E-3</v>
      </c>
    </row>
    <row r="166" spans="1:4" x14ac:dyDescent="0.3">
      <c r="A166" s="26">
        <v>42394</v>
      </c>
      <c r="B166" s="27">
        <v>96.480697631835938</v>
      </c>
      <c r="C166" s="27">
        <f t="shared" si="7"/>
        <v>4.5693429637968039</v>
      </c>
      <c r="D166" s="29">
        <f t="shared" si="8"/>
        <v>-2.0836934400190188E-3</v>
      </c>
    </row>
    <row r="167" spans="1:4" x14ac:dyDescent="0.3">
      <c r="A167" s="26">
        <v>42395</v>
      </c>
      <c r="B167" s="27">
        <v>96.80889892578125</v>
      </c>
      <c r="C167" s="27">
        <f t="shared" si="7"/>
        <v>4.5727389211085905</v>
      </c>
      <c r="D167" s="29">
        <f t="shared" si="8"/>
        <v>7.4320473177280633E-4</v>
      </c>
    </row>
    <row r="168" spans="1:4" x14ac:dyDescent="0.3">
      <c r="A168" s="26">
        <v>42396</v>
      </c>
      <c r="B168" s="27">
        <v>93.934669494628906</v>
      </c>
      <c r="C168" s="27">
        <f t="shared" si="7"/>
        <v>4.5425995352655173</v>
      </c>
      <c r="D168" s="29">
        <f t="shared" si="8"/>
        <v>-6.5911013865113111E-3</v>
      </c>
    </row>
    <row r="169" spans="1:4" x14ac:dyDescent="0.3">
      <c r="A169" s="26">
        <v>42397</v>
      </c>
      <c r="B169" s="27">
        <v>108.5146865844727</v>
      </c>
      <c r="C169" s="27">
        <f t="shared" si="7"/>
        <v>4.6868855240457004</v>
      </c>
      <c r="D169" s="29">
        <f t="shared" si="8"/>
        <v>3.1762867860142485E-2</v>
      </c>
    </row>
    <row r="170" spans="1:4" x14ac:dyDescent="0.3">
      <c r="A170" s="26">
        <v>42398</v>
      </c>
      <c r="B170" s="27">
        <v>111.597770690918</v>
      </c>
      <c r="C170" s="27">
        <f t="shared" si="7"/>
        <v>4.714901073859858</v>
      </c>
      <c r="D170" s="29">
        <f t="shared" si="8"/>
        <v>5.9774341981313484E-3</v>
      </c>
    </row>
    <row r="171" spans="1:4" x14ac:dyDescent="0.3">
      <c r="A171" s="26">
        <v>42401</v>
      </c>
      <c r="B171" s="27">
        <v>114.462043762207</v>
      </c>
      <c r="C171" s="27">
        <f t="shared" si="7"/>
        <v>4.7402432725109307</v>
      </c>
      <c r="D171" s="29">
        <f t="shared" si="8"/>
        <v>5.374916303456212E-3</v>
      </c>
    </row>
    <row r="172" spans="1:4" x14ac:dyDescent="0.3">
      <c r="A172" s="26">
        <v>42402</v>
      </c>
      <c r="B172" s="27">
        <v>113.9846649169922</v>
      </c>
      <c r="C172" s="27">
        <f t="shared" si="7"/>
        <v>4.7360639210741029</v>
      </c>
      <c r="D172" s="29">
        <f t="shared" si="8"/>
        <v>-8.8167446195519528E-4</v>
      </c>
    </row>
    <row r="173" spans="1:4" x14ac:dyDescent="0.3">
      <c r="A173" s="26">
        <v>42403</v>
      </c>
      <c r="B173" s="27">
        <v>112.0751495361328</v>
      </c>
      <c r="C173" s="27">
        <f t="shared" si="7"/>
        <v>4.7191696242911849</v>
      </c>
      <c r="D173" s="29">
        <f t="shared" si="8"/>
        <v>-3.5671597901674179E-3</v>
      </c>
    </row>
    <row r="174" spans="1:4" x14ac:dyDescent="0.3">
      <c r="A174" s="26">
        <v>42404</v>
      </c>
      <c r="B174" s="27">
        <v>109.8871536254883</v>
      </c>
      <c r="C174" s="27">
        <f t="shared" si="7"/>
        <v>4.699453963089411</v>
      </c>
      <c r="D174" s="29">
        <f t="shared" si="8"/>
        <v>-4.1777818496480101E-3</v>
      </c>
    </row>
    <row r="175" spans="1:4" x14ac:dyDescent="0.3">
      <c r="A175" s="26">
        <v>42405</v>
      </c>
      <c r="B175" s="27">
        <v>103.50218200683589</v>
      </c>
      <c r="C175" s="27">
        <f t="shared" si="7"/>
        <v>4.6395926946748487</v>
      </c>
      <c r="D175" s="29">
        <f t="shared" si="8"/>
        <v>-1.2737919955111088E-2</v>
      </c>
    </row>
    <row r="176" spans="1:4" x14ac:dyDescent="0.3">
      <c r="A176" s="26">
        <v>42408</v>
      </c>
      <c r="B176" s="27">
        <v>99.205757141113281</v>
      </c>
      <c r="C176" s="27">
        <f t="shared" si="7"/>
        <v>4.5971960483035277</v>
      </c>
      <c r="D176" s="29">
        <f t="shared" si="8"/>
        <v>-9.1380104162984699E-3</v>
      </c>
    </row>
    <row r="177" spans="1:4" x14ac:dyDescent="0.3">
      <c r="A177" s="26">
        <v>42409</v>
      </c>
      <c r="B177" s="27">
        <v>98.996902465820313</v>
      </c>
      <c r="C177" s="27">
        <f t="shared" si="7"/>
        <v>4.5950885614210657</v>
      </c>
      <c r="D177" s="29">
        <f t="shared" si="8"/>
        <v>-4.5842875968704622E-4</v>
      </c>
    </row>
    <row r="178" spans="1:4" x14ac:dyDescent="0.3">
      <c r="A178" s="26">
        <v>42410</v>
      </c>
      <c r="B178" s="27">
        <v>100.4489364624023</v>
      </c>
      <c r="C178" s="27">
        <f t="shared" si="7"/>
        <v>4.6096495034737064</v>
      </c>
      <c r="D178" s="29">
        <f t="shared" si="8"/>
        <v>3.168805531821528E-3</v>
      </c>
    </row>
    <row r="179" spans="1:4" x14ac:dyDescent="0.3">
      <c r="A179" s="26">
        <v>42411</v>
      </c>
      <c r="B179" s="27">
        <v>101.3539733886719</v>
      </c>
      <c r="C179" s="27">
        <f t="shared" si="7"/>
        <v>4.6186190767538191</v>
      </c>
      <c r="D179" s="29">
        <f t="shared" si="8"/>
        <v>1.945825441468596E-3</v>
      </c>
    </row>
    <row r="180" spans="1:4" x14ac:dyDescent="0.3">
      <c r="A180" s="26">
        <v>42412</v>
      </c>
      <c r="B180" s="27">
        <v>101.4534149169922</v>
      </c>
      <c r="C180" s="27">
        <f t="shared" si="7"/>
        <v>4.6195997267895033</v>
      </c>
      <c r="D180" s="29">
        <f t="shared" si="8"/>
        <v>2.123253767820632E-4</v>
      </c>
    </row>
    <row r="181" spans="1:4" x14ac:dyDescent="0.3">
      <c r="A181" s="26">
        <v>42416</v>
      </c>
      <c r="B181" s="27">
        <v>101.05560302734381</v>
      </c>
      <c r="C181" s="27">
        <f t="shared" si="7"/>
        <v>4.6156708903811596</v>
      </c>
      <c r="D181" s="29">
        <f t="shared" si="8"/>
        <v>-8.5047117514536197E-4</v>
      </c>
    </row>
    <row r="182" spans="1:4" x14ac:dyDescent="0.3">
      <c r="A182" s="26">
        <v>42417</v>
      </c>
      <c r="B182" s="27">
        <v>104.6260147094727</v>
      </c>
      <c r="C182" s="27">
        <f t="shared" si="7"/>
        <v>4.6503922272999825</v>
      </c>
      <c r="D182" s="29">
        <f t="shared" si="8"/>
        <v>7.5224897405878899E-3</v>
      </c>
    </row>
    <row r="183" spans="1:4" x14ac:dyDescent="0.3">
      <c r="A183" s="26">
        <v>42418</v>
      </c>
      <c r="B183" s="27">
        <v>102.9054489135742</v>
      </c>
      <c r="C183" s="27">
        <f t="shared" si="7"/>
        <v>4.6338105949227035</v>
      </c>
      <c r="D183" s="29">
        <f t="shared" si="8"/>
        <v>-3.5656416850039507E-3</v>
      </c>
    </row>
    <row r="184" spans="1:4" x14ac:dyDescent="0.3">
      <c r="A184" s="26">
        <v>42419</v>
      </c>
      <c r="B184" s="27">
        <v>103.99945068359381</v>
      </c>
      <c r="C184" s="27">
        <f t="shared" si="7"/>
        <v>4.6443856172389024</v>
      </c>
      <c r="D184" s="29">
        <f t="shared" si="8"/>
        <v>2.2821438424320828E-3</v>
      </c>
    </row>
    <row r="185" spans="1:4" x14ac:dyDescent="0.3">
      <c r="A185" s="26">
        <v>42422</v>
      </c>
      <c r="B185" s="27">
        <v>106.575325012207</v>
      </c>
      <c r="C185" s="27">
        <f t="shared" si="7"/>
        <v>4.6688520122568233</v>
      </c>
      <c r="D185" s="29">
        <f t="shared" si="8"/>
        <v>5.2679508193951285E-3</v>
      </c>
    </row>
    <row r="186" spans="1:4" x14ac:dyDescent="0.3">
      <c r="A186" s="26">
        <v>42423</v>
      </c>
      <c r="B186" s="27">
        <v>104.8845977783203</v>
      </c>
      <c r="C186" s="27">
        <f t="shared" si="7"/>
        <v>4.6528606769606267</v>
      </c>
      <c r="D186" s="29">
        <f t="shared" si="8"/>
        <v>-3.4251107668900049E-3</v>
      </c>
    </row>
    <row r="187" spans="1:4" x14ac:dyDescent="0.3">
      <c r="A187" s="26">
        <v>42424</v>
      </c>
      <c r="B187" s="27">
        <v>106.2968444824219</v>
      </c>
      <c r="C187" s="27">
        <f t="shared" si="7"/>
        <v>4.6662355998877443</v>
      </c>
      <c r="D187" s="29">
        <f t="shared" si="8"/>
        <v>2.8745590843382018E-3</v>
      </c>
    </row>
    <row r="188" spans="1:4" x14ac:dyDescent="0.3">
      <c r="A188" s="26">
        <v>42425</v>
      </c>
      <c r="B188" s="27">
        <v>107.480354309082</v>
      </c>
      <c r="C188" s="27">
        <f t="shared" si="7"/>
        <v>4.6773080802535985</v>
      </c>
      <c r="D188" s="29">
        <f t="shared" si="8"/>
        <v>2.3728935517359773E-3</v>
      </c>
    </row>
    <row r="189" spans="1:4" x14ac:dyDescent="0.3">
      <c r="A189" s="26">
        <v>42426</v>
      </c>
      <c r="B189" s="27">
        <v>107.3311767578125</v>
      </c>
      <c r="C189" s="27">
        <f t="shared" si="7"/>
        <v>4.6759191643559284</v>
      </c>
      <c r="D189" s="29">
        <f t="shared" si="8"/>
        <v>-2.969477044998392E-4</v>
      </c>
    </row>
    <row r="190" spans="1:4" x14ac:dyDescent="0.3">
      <c r="A190" s="26">
        <v>42429</v>
      </c>
      <c r="B190" s="27">
        <v>106.3366317749023</v>
      </c>
      <c r="C190" s="27">
        <f t="shared" si="7"/>
        <v>4.6666098334622976</v>
      </c>
      <c r="D190" s="29">
        <f t="shared" si="8"/>
        <v>-1.9909092878668266E-3</v>
      </c>
    </row>
    <row r="191" spans="1:4" x14ac:dyDescent="0.3">
      <c r="A191" s="26">
        <v>42430</v>
      </c>
      <c r="B191" s="27">
        <v>109.22080993652339</v>
      </c>
      <c r="C191" s="27">
        <f t="shared" si="7"/>
        <v>4.6933716123394653</v>
      </c>
      <c r="D191" s="29">
        <f t="shared" si="8"/>
        <v>5.7347367429927409E-3</v>
      </c>
    </row>
    <row r="192" spans="1:4" x14ac:dyDescent="0.3">
      <c r="A192" s="26">
        <v>42431</v>
      </c>
      <c r="B192" s="27">
        <v>109.3501052856445</v>
      </c>
      <c r="C192" s="27">
        <f t="shared" si="7"/>
        <v>4.6945547099539962</v>
      </c>
      <c r="D192" s="29">
        <f t="shared" si="8"/>
        <v>2.5207840168040008E-4</v>
      </c>
    </row>
    <row r="193" spans="1:4" x14ac:dyDescent="0.3">
      <c r="A193" s="26">
        <v>42432</v>
      </c>
      <c r="B193" s="27">
        <v>108.98211669921881</v>
      </c>
      <c r="C193" s="27">
        <f t="shared" si="7"/>
        <v>4.6911838017890402</v>
      </c>
      <c r="D193" s="29">
        <f t="shared" si="8"/>
        <v>-7.1804641190109653E-4</v>
      </c>
    </row>
    <row r="194" spans="1:4" x14ac:dyDescent="0.3">
      <c r="A194" s="26">
        <v>42433</v>
      </c>
      <c r="B194" s="27">
        <v>107.79860687255859</v>
      </c>
      <c r="C194" s="27">
        <f t="shared" si="7"/>
        <v>4.6802647351312663</v>
      </c>
      <c r="D194" s="29">
        <f t="shared" si="8"/>
        <v>-2.3275717002624319E-3</v>
      </c>
    </row>
    <row r="195" spans="1:4" x14ac:dyDescent="0.3">
      <c r="A195" s="26">
        <v>42436</v>
      </c>
      <c r="B195" s="27">
        <v>105.1531295776367</v>
      </c>
      <c r="C195" s="27">
        <f t="shared" ref="C195:C258" si="9">LN(B195)</f>
        <v>4.6554176646885548</v>
      </c>
      <c r="D195" s="29">
        <f t="shared" si="8"/>
        <v>-5.3089027755637286E-3</v>
      </c>
    </row>
    <row r="196" spans="1:4" x14ac:dyDescent="0.3">
      <c r="A196" s="26">
        <v>42437</v>
      </c>
      <c r="B196" s="27">
        <v>105.35203552246089</v>
      </c>
      <c r="C196" s="27">
        <f t="shared" si="9"/>
        <v>4.6573074615866616</v>
      </c>
      <c r="D196" s="29">
        <f t="shared" ref="D196:D259" si="10">C196/C195-1</f>
        <v>4.0593498461816147E-4</v>
      </c>
    </row>
    <row r="197" spans="1:4" x14ac:dyDescent="0.3">
      <c r="A197" s="26">
        <v>42438</v>
      </c>
      <c r="B197" s="27">
        <v>106.9234085083008</v>
      </c>
      <c r="C197" s="27">
        <f t="shared" si="9"/>
        <v>4.6721127698151621</v>
      </c>
      <c r="D197" s="29">
        <f t="shared" si="10"/>
        <v>3.1789415559557721E-3</v>
      </c>
    </row>
    <row r="198" spans="1:4" x14ac:dyDescent="0.3">
      <c r="A198" s="26">
        <v>42439</v>
      </c>
      <c r="B198" s="27">
        <v>106.7344436645508</v>
      </c>
      <c r="C198" s="27">
        <f t="shared" si="9"/>
        <v>4.6703439146937757</v>
      </c>
      <c r="D198" s="29">
        <f t="shared" si="10"/>
        <v>-3.7859855027777556E-4</v>
      </c>
    </row>
    <row r="199" spans="1:4" x14ac:dyDescent="0.3">
      <c r="A199" s="26">
        <v>42440</v>
      </c>
      <c r="B199" s="27">
        <v>108.8130416870117</v>
      </c>
      <c r="C199" s="27">
        <f t="shared" si="9"/>
        <v>4.689631195684993</v>
      </c>
      <c r="D199" s="29">
        <f t="shared" si="10"/>
        <v>4.1297346284361325E-3</v>
      </c>
    </row>
    <row r="200" spans="1:4" x14ac:dyDescent="0.3">
      <c r="A200" s="26">
        <v>42443</v>
      </c>
      <c r="B200" s="27">
        <v>109.29042053222661</v>
      </c>
      <c r="C200" s="27">
        <f t="shared" si="9"/>
        <v>4.6940087475375849</v>
      </c>
      <c r="D200" s="29">
        <f t="shared" si="10"/>
        <v>9.3345332925531821E-4</v>
      </c>
    </row>
    <row r="201" spans="1:4" x14ac:dyDescent="0.3">
      <c r="A201" s="26">
        <v>42444</v>
      </c>
      <c r="B201" s="27">
        <v>110.066162109375</v>
      </c>
      <c r="C201" s="27">
        <f t="shared" si="9"/>
        <v>4.7010816587011872</v>
      </c>
      <c r="D201" s="29">
        <f t="shared" si="10"/>
        <v>1.506795479943035E-3</v>
      </c>
    </row>
    <row r="202" spans="1:4" x14ac:dyDescent="0.3">
      <c r="A202" s="26">
        <v>42445</v>
      </c>
      <c r="B202" s="27">
        <v>111.56793212890619</v>
      </c>
      <c r="C202" s="27">
        <f t="shared" si="9"/>
        <v>4.7146336621401126</v>
      </c>
      <c r="D202" s="29">
        <f t="shared" si="10"/>
        <v>2.882741552434398E-3</v>
      </c>
    </row>
    <row r="203" spans="1:4" x14ac:dyDescent="0.3">
      <c r="A203" s="26">
        <v>42446</v>
      </c>
      <c r="B203" s="27">
        <v>110.4142532348633</v>
      </c>
      <c r="C203" s="27">
        <f t="shared" si="9"/>
        <v>4.7042392308978664</v>
      </c>
      <c r="D203" s="29">
        <f t="shared" si="10"/>
        <v>-2.2047166306294885E-3</v>
      </c>
    </row>
    <row r="204" spans="1:4" x14ac:dyDescent="0.3">
      <c r="A204" s="26">
        <v>42447</v>
      </c>
      <c r="B204" s="27">
        <v>110.841911315918</v>
      </c>
      <c r="C204" s="27">
        <f t="shared" si="9"/>
        <v>4.7081049637645256</v>
      </c>
      <c r="D204" s="29">
        <f t="shared" si="10"/>
        <v>8.2175516101923307E-4</v>
      </c>
    </row>
    <row r="205" spans="1:4" x14ac:dyDescent="0.3">
      <c r="A205" s="26">
        <v>42450</v>
      </c>
      <c r="B205" s="27">
        <v>111.2397384643555</v>
      </c>
      <c r="C205" s="27">
        <f t="shared" si="9"/>
        <v>4.7116876782694685</v>
      </c>
      <c r="D205" s="29">
        <f t="shared" si="10"/>
        <v>7.6096742373343851E-4</v>
      </c>
    </row>
    <row r="206" spans="1:4" x14ac:dyDescent="0.3">
      <c r="A206" s="26">
        <v>42451</v>
      </c>
      <c r="B206" s="27">
        <v>111.6375427246094</v>
      </c>
      <c r="C206" s="27">
        <f t="shared" si="9"/>
        <v>4.715257397718335</v>
      </c>
      <c r="D206" s="29">
        <f t="shared" si="10"/>
        <v>7.5763074563073296E-4</v>
      </c>
    </row>
    <row r="207" spans="1:4" x14ac:dyDescent="0.3">
      <c r="A207" s="26">
        <v>42452</v>
      </c>
      <c r="B207" s="27">
        <v>111.92596435546881</v>
      </c>
      <c r="C207" s="27">
        <f t="shared" si="9"/>
        <v>4.7178376201762973</v>
      </c>
      <c r="D207" s="29">
        <f t="shared" si="10"/>
        <v>5.4720712791000992E-4</v>
      </c>
    </row>
    <row r="208" spans="1:4" x14ac:dyDescent="0.3">
      <c r="A208" s="26">
        <v>42453</v>
      </c>
      <c r="B208" s="27">
        <v>112.4331817626953</v>
      </c>
      <c r="C208" s="27">
        <f t="shared" si="9"/>
        <v>4.7223591053051557</v>
      </c>
      <c r="D208" s="29">
        <f t="shared" si="10"/>
        <v>9.5838082886157139E-4</v>
      </c>
    </row>
    <row r="209" spans="1:4" x14ac:dyDescent="0.3">
      <c r="A209" s="26">
        <v>42457</v>
      </c>
      <c r="B209" s="27">
        <v>113.069694519043</v>
      </c>
      <c r="C209" s="27">
        <f t="shared" si="9"/>
        <v>4.7280043942458212</v>
      </c>
      <c r="D209" s="29">
        <f t="shared" si="10"/>
        <v>1.1954382999639357E-3</v>
      </c>
    </row>
    <row r="210" spans="1:4" x14ac:dyDescent="0.3">
      <c r="A210" s="26">
        <v>42458</v>
      </c>
      <c r="B210" s="27">
        <v>115.5063171386719</v>
      </c>
      <c r="C210" s="27">
        <f t="shared" si="9"/>
        <v>4.74932522230751</v>
      </c>
      <c r="D210" s="29">
        <f t="shared" si="10"/>
        <v>4.5094772093776658E-3</v>
      </c>
    </row>
    <row r="211" spans="1:4" x14ac:dyDescent="0.3">
      <c r="A211" s="26">
        <v>42459</v>
      </c>
      <c r="B211" s="27">
        <v>114.0741806030273</v>
      </c>
      <c r="C211" s="27">
        <f t="shared" si="9"/>
        <v>4.7368489438205623</v>
      </c>
      <c r="D211" s="29">
        <f t="shared" si="10"/>
        <v>-2.6269581262505781E-3</v>
      </c>
    </row>
    <row r="212" spans="1:4" x14ac:dyDescent="0.3">
      <c r="A212" s="26">
        <v>42460</v>
      </c>
      <c r="B212" s="27">
        <v>113.4774551391602</v>
      </c>
      <c r="C212" s="27">
        <f t="shared" si="9"/>
        <v>4.7316041840561311</v>
      </c>
      <c r="D212" s="29">
        <f t="shared" si="10"/>
        <v>-1.1072254628835543E-3</v>
      </c>
    </row>
    <row r="213" spans="1:4" x14ac:dyDescent="0.3">
      <c r="A213" s="26">
        <v>42461</v>
      </c>
      <c r="B213" s="27">
        <v>115.4267578125</v>
      </c>
      <c r="C213" s="27">
        <f t="shared" si="9"/>
        <v>4.7486361973219262</v>
      </c>
      <c r="D213" s="29">
        <f t="shared" si="10"/>
        <v>3.5996276533838412E-3</v>
      </c>
    </row>
    <row r="214" spans="1:4" x14ac:dyDescent="0.3">
      <c r="A214" s="26">
        <v>42464</v>
      </c>
      <c r="B214" s="27">
        <v>111.935920715332</v>
      </c>
      <c r="C214" s="27">
        <f t="shared" si="9"/>
        <v>4.7179265710923195</v>
      </c>
      <c r="D214" s="29">
        <f t="shared" si="10"/>
        <v>-6.467041262694706E-3</v>
      </c>
    </row>
    <row r="215" spans="1:4" x14ac:dyDescent="0.3">
      <c r="A215" s="26">
        <v>42465</v>
      </c>
      <c r="B215" s="27">
        <v>111.6077194213867</v>
      </c>
      <c r="C215" s="27">
        <f t="shared" si="9"/>
        <v>4.7149902179975793</v>
      </c>
      <c r="D215" s="29">
        <f t="shared" si="10"/>
        <v>-6.2238211012688449E-4</v>
      </c>
    </row>
    <row r="216" spans="1:4" x14ac:dyDescent="0.3">
      <c r="A216" s="26">
        <v>42466</v>
      </c>
      <c r="B216" s="27">
        <v>113.08958435058589</v>
      </c>
      <c r="C216" s="27">
        <f t="shared" si="9"/>
        <v>4.7281802864903808</v>
      </c>
      <c r="D216" s="29">
        <f t="shared" si="10"/>
        <v>2.7974752614445819E-3</v>
      </c>
    </row>
    <row r="217" spans="1:4" x14ac:dyDescent="0.3">
      <c r="A217" s="26">
        <v>42467</v>
      </c>
      <c r="B217" s="27">
        <v>113.0199661254883</v>
      </c>
      <c r="C217" s="27">
        <f t="shared" si="9"/>
        <v>4.7275644944802604</v>
      </c>
      <c r="D217" s="29">
        <f t="shared" si="10"/>
        <v>-1.3023869074535455E-4</v>
      </c>
    </row>
    <row r="218" spans="1:4" x14ac:dyDescent="0.3">
      <c r="A218" s="26">
        <v>42468</v>
      </c>
      <c r="B218" s="27">
        <v>110.02639007568359</v>
      </c>
      <c r="C218" s="27">
        <f t="shared" si="9"/>
        <v>4.7007202467976086</v>
      </c>
      <c r="D218" s="29">
        <f t="shared" si="10"/>
        <v>-5.6782403950267346E-3</v>
      </c>
    </row>
    <row r="219" spans="1:4" x14ac:dyDescent="0.3">
      <c r="A219" s="26">
        <v>42471</v>
      </c>
      <c r="B219" s="27">
        <v>108.3953399658203</v>
      </c>
      <c r="C219" s="27">
        <f t="shared" si="9"/>
        <v>4.6857850988362815</v>
      </c>
      <c r="D219" s="29">
        <f t="shared" si="10"/>
        <v>-3.177204168127612E-3</v>
      </c>
    </row>
    <row r="220" spans="1:4" x14ac:dyDescent="0.3">
      <c r="A220" s="26">
        <v>42472</v>
      </c>
      <c r="B220" s="27">
        <v>110.00648498535161</v>
      </c>
      <c r="C220" s="27">
        <f t="shared" si="9"/>
        <v>4.7005393184669604</v>
      </c>
      <c r="D220" s="29">
        <f t="shared" si="10"/>
        <v>3.148718799405259E-3</v>
      </c>
    </row>
    <row r="221" spans="1:4" x14ac:dyDescent="0.3">
      <c r="A221" s="26">
        <v>42473</v>
      </c>
      <c r="B221" s="27">
        <v>109.9070510864258</v>
      </c>
      <c r="C221" s="27">
        <f t="shared" si="9"/>
        <v>4.6996350184636224</v>
      </c>
      <c r="D221" s="29">
        <f t="shared" si="10"/>
        <v>-1.9238218044159705E-4</v>
      </c>
    </row>
    <row r="222" spans="1:4" x14ac:dyDescent="0.3">
      <c r="A222" s="26">
        <v>42474</v>
      </c>
      <c r="B222" s="27">
        <v>110.2352294921875</v>
      </c>
      <c r="C222" s="27">
        <f t="shared" si="9"/>
        <v>4.7026165324918132</v>
      </c>
      <c r="D222" s="29">
        <f t="shared" si="10"/>
        <v>6.3441395267438416E-4</v>
      </c>
    </row>
    <row r="223" spans="1:4" x14ac:dyDescent="0.3">
      <c r="A223" s="26">
        <v>42475</v>
      </c>
      <c r="B223" s="27">
        <v>109.0417938232422</v>
      </c>
      <c r="C223" s="27">
        <f t="shared" si="9"/>
        <v>4.6917312383098402</v>
      </c>
      <c r="D223" s="29">
        <f t="shared" si="10"/>
        <v>-2.3147314068164837E-3</v>
      </c>
    </row>
    <row r="224" spans="1:4" x14ac:dyDescent="0.3">
      <c r="A224" s="26">
        <v>42478</v>
      </c>
      <c r="B224" s="27">
        <v>109.8473663330078</v>
      </c>
      <c r="C224" s="27">
        <f t="shared" si="9"/>
        <v>4.6990918234226635</v>
      </c>
      <c r="D224" s="29">
        <f t="shared" si="10"/>
        <v>1.5688420199182485E-3</v>
      </c>
    </row>
    <row r="225" spans="1:4" x14ac:dyDescent="0.3">
      <c r="A225" s="26">
        <v>42479</v>
      </c>
      <c r="B225" s="27">
        <v>111.6773300170898</v>
      </c>
      <c r="C225" s="27">
        <f t="shared" si="9"/>
        <v>4.7156137312881761</v>
      </c>
      <c r="D225" s="29">
        <f t="shared" si="10"/>
        <v>3.5159789351548731E-3</v>
      </c>
    </row>
    <row r="226" spans="1:4" x14ac:dyDescent="0.3">
      <c r="A226" s="26">
        <v>42480</v>
      </c>
      <c r="B226" s="27">
        <v>111.80662536621089</v>
      </c>
      <c r="C226" s="27">
        <f t="shared" si="9"/>
        <v>4.7167708198435943</v>
      </c>
      <c r="D226" s="29">
        <f t="shared" si="10"/>
        <v>2.4537390493639677E-4</v>
      </c>
    </row>
    <row r="227" spans="1:4" x14ac:dyDescent="0.3">
      <c r="A227" s="26">
        <v>42481</v>
      </c>
      <c r="B227" s="27">
        <v>112.82106018066411</v>
      </c>
      <c r="C227" s="27">
        <f t="shared" si="9"/>
        <v>4.7258030253662779</v>
      </c>
      <c r="D227" s="29">
        <f t="shared" si="10"/>
        <v>1.914912949487535E-3</v>
      </c>
    </row>
    <row r="228" spans="1:4" x14ac:dyDescent="0.3">
      <c r="A228" s="26">
        <v>42482</v>
      </c>
      <c r="B228" s="27">
        <v>109.95677185058589</v>
      </c>
      <c r="C228" s="27">
        <f t="shared" si="9"/>
        <v>4.7000873053777994</v>
      </c>
      <c r="D228" s="29">
        <f t="shared" si="10"/>
        <v>-5.4415556150873012E-3</v>
      </c>
    </row>
    <row r="229" spans="1:4" x14ac:dyDescent="0.3">
      <c r="A229" s="26">
        <v>42485</v>
      </c>
      <c r="B229" s="27">
        <v>109.4992752075195</v>
      </c>
      <c r="C229" s="27">
        <f t="shared" si="9"/>
        <v>4.6959179301252378</v>
      </c>
      <c r="D229" s="29">
        <f t="shared" si="10"/>
        <v>-8.8708463942599458E-4</v>
      </c>
    </row>
    <row r="230" spans="1:4" x14ac:dyDescent="0.3">
      <c r="A230" s="26">
        <v>42486</v>
      </c>
      <c r="B230" s="27">
        <v>108.1665954589844</v>
      </c>
      <c r="C230" s="27">
        <f t="shared" si="9"/>
        <v>4.6836725891613442</v>
      </c>
      <c r="D230" s="29">
        <f t="shared" si="10"/>
        <v>-2.6076565106338823E-3</v>
      </c>
    </row>
    <row r="231" spans="1:4" x14ac:dyDescent="0.3">
      <c r="A231" s="26">
        <v>42487</v>
      </c>
      <c r="B231" s="27">
        <v>108.29588317871089</v>
      </c>
      <c r="C231" s="27">
        <f t="shared" si="9"/>
        <v>4.6848671401607982</v>
      </c>
      <c r="D231" s="29">
        <f t="shared" si="10"/>
        <v>2.5504579509205705E-4</v>
      </c>
    </row>
    <row r="232" spans="1:4" x14ac:dyDescent="0.3">
      <c r="A232" s="26">
        <v>42488</v>
      </c>
      <c r="B232" s="27">
        <v>116.0931091308594</v>
      </c>
      <c r="C232" s="27">
        <f t="shared" si="9"/>
        <v>4.7543925340643529</v>
      </c>
      <c r="D232" s="29">
        <f t="shared" si="10"/>
        <v>1.4840419551613637E-2</v>
      </c>
    </row>
    <row r="233" spans="1:4" x14ac:dyDescent="0.3">
      <c r="A233" s="26">
        <v>42489</v>
      </c>
      <c r="B233" s="27">
        <v>116.9384689331055</v>
      </c>
      <c r="C233" s="27">
        <f t="shared" si="9"/>
        <v>4.7616478899057464</v>
      </c>
      <c r="D233" s="29">
        <f t="shared" si="10"/>
        <v>1.5260321459387161E-3</v>
      </c>
    </row>
    <row r="234" spans="1:4" x14ac:dyDescent="0.3">
      <c r="A234" s="26">
        <v>42492</v>
      </c>
      <c r="B234" s="27">
        <v>117.9230575561523</v>
      </c>
      <c r="C234" s="27">
        <f t="shared" si="9"/>
        <v>4.7700323571767216</v>
      </c>
      <c r="D234" s="29">
        <f t="shared" si="10"/>
        <v>1.7608331117362486E-3</v>
      </c>
    </row>
    <row r="235" spans="1:4" x14ac:dyDescent="0.3">
      <c r="A235" s="26">
        <v>42493</v>
      </c>
      <c r="B235" s="27">
        <v>116.78928375244141</v>
      </c>
      <c r="C235" s="27">
        <f t="shared" si="9"/>
        <v>4.7603713174901063</v>
      </c>
      <c r="D235" s="29">
        <f t="shared" si="10"/>
        <v>-2.0253614573662038E-3</v>
      </c>
    </row>
    <row r="236" spans="1:4" x14ac:dyDescent="0.3">
      <c r="A236" s="26">
        <v>42494</v>
      </c>
      <c r="B236" s="27">
        <v>117.4158554077148</v>
      </c>
      <c r="C236" s="27">
        <f t="shared" si="9"/>
        <v>4.7657219528551416</v>
      </c>
      <c r="D236" s="29">
        <f t="shared" si="10"/>
        <v>1.12399537938912E-3</v>
      </c>
    </row>
    <row r="237" spans="1:4" x14ac:dyDescent="0.3">
      <c r="A237" s="26">
        <v>42495</v>
      </c>
      <c r="B237" s="27">
        <v>117.1672058105469</v>
      </c>
      <c r="C237" s="27">
        <f t="shared" si="9"/>
        <v>4.7636020240845145</v>
      </c>
      <c r="D237" s="29">
        <f t="shared" si="10"/>
        <v>-4.4482846284332744E-4</v>
      </c>
    </row>
    <row r="238" spans="1:4" x14ac:dyDescent="0.3">
      <c r="A238" s="26">
        <v>42496</v>
      </c>
      <c r="B238" s="27">
        <v>118.8380508422852</v>
      </c>
      <c r="C238" s="27">
        <f t="shared" si="9"/>
        <v>4.777761648930829</v>
      </c>
      <c r="D238" s="29">
        <f t="shared" si="10"/>
        <v>2.9724617578723578E-3</v>
      </c>
    </row>
    <row r="239" spans="1:4" x14ac:dyDescent="0.3">
      <c r="A239" s="26">
        <v>42499</v>
      </c>
      <c r="B239" s="27">
        <v>118.5894012451172</v>
      </c>
      <c r="C239" s="27">
        <f t="shared" si="9"/>
        <v>4.7756671170147813</v>
      </c>
      <c r="D239" s="29">
        <f t="shared" si="10"/>
        <v>-4.3839188095884385E-4</v>
      </c>
    </row>
    <row r="240" spans="1:4" x14ac:dyDescent="0.3">
      <c r="A240" s="26">
        <v>42500</v>
      </c>
      <c r="B240" s="27">
        <v>119.8425369262695</v>
      </c>
      <c r="C240" s="27">
        <f t="shared" si="9"/>
        <v>4.7861786888227931</v>
      </c>
      <c r="D240" s="29">
        <f t="shared" si="10"/>
        <v>2.2010687827385134E-3</v>
      </c>
    </row>
    <row r="241" spans="1:4" x14ac:dyDescent="0.3">
      <c r="A241" s="26">
        <v>42501</v>
      </c>
      <c r="B241" s="27">
        <v>118.8678894042969</v>
      </c>
      <c r="C241" s="27">
        <f t="shared" si="9"/>
        <v>4.7780127033397974</v>
      </c>
      <c r="D241" s="29">
        <f t="shared" si="10"/>
        <v>-1.7061597599908884E-3</v>
      </c>
    </row>
    <row r="242" spans="1:4" x14ac:dyDescent="0.3">
      <c r="A242" s="26">
        <v>42502</v>
      </c>
      <c r="B242" s="27">
        <v>119.6237335205078</v>
      </c>
      <c r="C242" s="27">
        <f t="shared" si="9"/>
        <v>4.7843512626366804</v>
      </c>
      <c r="D242" s="29">
        <f t="shared" si="10"/>
        <v>1.3266099716420232E-3</v>
      </c>
    </row>
    <row r="243" spans="1:4" x14ac:dyDescent="0.3">
      <c r="A243" s="26">
        <v>42503</v>
      </c>
      <c r="B243" s="27">
        <v>119.1562957763672</v>
      </c>
      <c r="C243" s="27">
        <f t="shared" si="9"/>
        <v>4.7804360412286915</v>
      </c>
      <c r="D243" s="29">
        <f t="shared" si="10"/>
        <v>-8.1833903763817162E-4</v>
      </c>
    </row>
    <row r="244" spans="1:4" x14ac:dyDescent="0.3">
      <c r="A244" s="26">
        <v>42506</v>
      </c>
      <c r="B244" s="27">
        <v>118.0225143432617</v>
      </c>
      <c r="C244" s="27">
        <f t="shared" si="9"/>
        <v>4.7708754057849188</v>
      </c>
      <c r="D244" s="29">
        <f t="shared" si="10"/>
        <v>-1.9999504985146466E-3</v>
      </c>
    </row>
    <row r="245" spans="1:4" x14ac:dyDescent="0.3">
      <c r="A245" s="26">
        <v>42507</v>
      </c>
      <c r="B245" s="27">
        <v>116.7097244262695</v>
      </c>
      <c r="C245" s="27">
        <f t="shared" si="9"/>
        <v>4.7596898642379388</v>
      </c>
      <c r="D245" s="29">
        <f t="shared" si="10"/>
        <v>-2.3445469846932188E-3</v>
      </c>
    </row>
    <row r="246" spans="1:4" x14ac:dyDescent="0.3">
      <c r="A246" s="26">
        <v>42508</v>
      </c>
      <c r="B246" s="27">
        <v>117.0080871582031</v>
      </c>
      <c r="C246" s="27">
        <f t="shared" si="9"/>
        <v>4.7622430534192919</v>
      </c>
      <c r="D246" s="29">
        <f t="shared" si="10"/>
        <v>5.3641923196234842E-4</v>
      </c>
    </row>
    <row r="247" spans="1:4" x14ac:dyDescent="0.3">
      <c r="A247" s="26">
        <v>42509</v>
      </c>
      <c r="B247" s="27">
        <v>116.1726760864258</v>
      </c>
      <c r="C247" s="27">
        <f t="shared" si="9"/>
        <v>4.7550776712110441</v>
      </c>
      <c r="D247" s="29">
        <f t="shared" si="10"/>
        <v>-1.5046233734549164E-3</v>
      </c>
    </row>
    <row r="248" spans="1:4" x14ac:dyDescent="0.3">
      <c r="A248" s="26">
        <v>42510</v>
      </c>
      <c r="B248" s="27">
        <v>116.7097244262695</v>
      </c>
      <c r="C248" s="27">
        <f t="shared" si="9"/>
        <v>4.7596898642379388</v>
      </c>
      <c r="D248" s="29">
        <f t="shared" si="10"/>
        <v>9.6995114397779858E-4</v>
      </c>
    </row>
    <row r="249" spans="1:4" x14ac:dyDescent="0.3">
      <c r="A249" s="26">
        <v>42513</v>
      </c>
      <c r="B249" s="27">
        <v>115.3372421264648</v>
      </c>
      <c r="C249" s="27">
        <f t="shared" si="9"/>
        <v>4.7478603770852441</v>
      </c>
      <c r="D249" s="29">
        <f t="shared" si="10"/>
        <v>-2.4853483084215089E-3</v>
      </c>
    </row>
    <row r="250" spans="1:4" x14ac:dyDescent="0.3">
      <c r="A250" s="26">
        <v>42514</v>
      </c>
      <c r="B250" s="27">
        <v>117.0578155517578</v>
      </c>
      <c r="C250" s="27">
        <f t="shared" si="9"/>
        <v>4.7626679627608679</v>
      </c>
      <c r="D250" s="29">
        <f t="shared" si="10"/>
        <v>3.1187913079941953E-3</v>
      </c>
    </row>
    <row r="251" spans="1:4" x14ac:dyDescent="0.3">
      <c r="A251" s="26">
        <v>42515</v>
      </c>
      <c r="B251" s="27">
        <v>117.2467727661133</v>
      </c>
      <c r="C251" s="27">
        <f t="shared" si="9"/>
        <v>4.7642808825647567</v>
      </c>
      <c r="D251" s="29">
        <f t="shared" si="10"/>
        <v>3.3865888121953347E-4</v>
      </c>
    </row>
    <row r="252" spans="1:4" x14ac:dyDescent="0.3">
      <c r="A252" s="26">
        <v>42516</v>
      </c>
      <c r="B252" s="27">
        <v>118.8181610107422</v>
      </c>
      <c r="C252" s="27">
        <f t="shared" si="9"/>
        <v>4.7775942657058392</v>
      </c>
      <c r="D252" s="29">
        <f t="shared" si="10"/>
        <v>2.794416086969953E-3</v>
      </c>
    </row>
    <row r="253" spans="1:4" x14ac:dyDescent="0.3">
      <c r="A253" s="26">
        <v>42517</v>
      </c>
      <c r="B253" s="27">
        <v>118.72865295410161</v>
      </c>
      <c r="C253" s="27">
        <f t="shared" si="9"/>
        <v>4.7768406621581194</v>
      </c>
      <c r="D253" s="29">
        <f t="shared" si="10"/>
        <v>-1.5773703370525194E-4</v>
      </c>
    </row>
    <row r="254" spans="1:4" x14ac:dyDescent="0.3">
      <c r="A254" s="26">
        <v>42521</v>
      </c>
      <c r="B254" s="27">
        <v>118.16175842285161</v>
      </c>
      <c r="C254" s="27">
        <f t="shared" si="9"/>
        <v>4.7720545198223761</v>
      </c>
      <c r="D254" s="29">
        <f t="shared" si="10"/>
        <v>-1.0019472438465016E-3</v>
      </c>
    </row>
    <row r="255" spans="1:4" x14ac:dyDescent="0.3">
      <c r="A255" s="26">
        <v>42522</v>
      </c>
      <c r="B255" s="27">
        <v>118.1319198608398</v>
      </c>
      <c r="C255" s="27">
        <f t="shared" si="9"/>
        <v>4.7718019649306234</v>
      </c>
      <c r="D255" s="29">
        <f t="shared" si="10"/>
        <v>-5.292372304288584E-5</v>
      </c>
    </row>
    <row r="256" spans="1:4" x14ac:dyDescent="0.3">
      <c r="A256" s="26">
        <v>42523</v>
      </c>
      <c r="B256" s="27">
        <v>118.2810974121094</v>
      </c>
      <c r="C256" s="27">
        <f t="shared" si="9"/>
        <v>4.7730639730280577</v>
      </c>
      <c r="D256" s="29">
        <f t="shared" si="10"/>
        <v>2.6447201847634716E-4</v>
      </c>
    </row>
    <row r="257" spans="1:4" x14ac:dyDescent="0.3">
      <c r="A257" s="26">
        <v>42524</v>
      </c>
      <c r="B257" s="27">
        <v>117.8236083984375</v>
      </c>
      <c r="C257" s="27">
        <f t="shared" si="9"/>
        <v>4.7691886619905244</v>
      </c>
      <c r="D257" s="29">
        <f t="shared" si="10"/>
        <v>-8.1191265389113365E-4</v>
      </c>
    </row>
    <row r="258" spans="1:4" x14ac:dyDescent="0.3">
      <c r="A258" s="26">
        <v>42527</v>
      </c>
      <c r="B258" s="27">
        <v>118.14186859130859</v>
      </c>
      <c r="C258" s="27">
        <f t="shared" si="9"/>
        <v>4.7718861785079296</v>
      </c>
      <c r="D258" s="29">
        <f t="shared" si="10"/>
        <v>5.6561329580095965E-4</v>
      </c>
    </row>
    <row r="259" spans="1:4" x14ac:dyDescent="0.3">
      <c r="A259" s="26">
        <v>42528</v>
      </c>
      <c r="B259" s="27">
        <v>117.1174850463867</v>
      </c>
      <c r="C259" s="27">
        <f t="shared" ref="C259:C322" si="11">LN(B259)</f>
        <v>4.7631775766763225</v>
      </c>
      <c r="D259" s="29">
        <f t="shared" si="10"/>
        <v>-1.8249810464527894E-3</v>
      </c>
    </row>
    <row r="260" spans="1:4" x14ac:dyDescent="0.3">
      <c r="A260" s="26">
        <v>42529</v>
      </c>
      <c r="B260" s="27">
        <v>117.74404144287109</v>
      </c>
      <c r="C260" s="27">
        <f t="shared" si="11"/>
        <v>4.7685131281585589</v>
      </c>
      <c r="D260" s="29">
        <f t="shared" ref="D260:D323" si="12">C260/C259-1</f>
        <v>1.1201664007578493E-3</v>
      </c>
    </row>
    <row r="261" spans="1:4" x14ac:dyDescent="0.3">
      <c r="A261" s="26">
        <v>42530</v>
      </c>
      <c r="B261" s="27">
        <v>117.9131164550781</v>
      </c>
      <c r="C261" s="27">
        <f t="shared" si="11"/>
        <v>4.7699480520346311</v>
      </c>
      <c r="D261" s="29">
        <f t="shared" si="12"/>
        <v>3.0091641513974032E-4</v>
      </c>
    </row>
    <row r="262" spans="1:4" x14ac:dyDescent="0.3">
      <c r="A262" s="26">
        <v>42531</v>
      </c>
      <c r="B262" s="27">
        <v>115.98370361328119</v>
      </c>
      <c r="C262" s="27">
        <f t="shared" si="11"/>
        <v>4.7534496951448659</v>
      </c>
      <c r="D262" s="29">
        <f t="shared" si="12"/>
        <v>-3.4588126977038725E-3</v>
      </c>
    </row>
    <row r="263" spans="1:4" x14ac:dyDescent="0.3">
      <c r="A263" s="26">
        <v>42534</v>
      </c>
      <c r="B263" s="27">
        <v>113.32826995849609</v>
      </c>
      <c r="C263" s="27">
        <f t="shared" si="11"/>
        <v>4.7302886511072586</v>
      </c>
      <c r="D263" s="29">
        <f t="shared" si="12"/>
        <v>-4.8724706314371424E-3</v>
      </c>
    </row>
    <row r="264" spans="1:4" x14ac:dyDescent="0.3">
      <c r="A264" s="26">
        <v>42535</v>
      </c>
      <c r="B264" s="27">
        <v>114.31288146972661</v>
      </c>
      <c r="C264" s="27">
        <f t="shared" si="11"/>
        <v>4.7389392632234966</v>
      </c>
      <c r="D264" s="29">
        <f t="shared" si="12"/>
        <v>1.8287704523514137E-3</v>
      </c>
    </row>
    <row r="265" spans="1:4" x14ac:dyDescent="0.3">
      <c r="A265" s="26">
        <v>42536</v>
      </c>
      <c r="B265" s="27">
        <v>113.974723815918</v>
      </c>
      <c r="C265" s="27">
        <f t="shared" si="11"/>
        <v>4.7359767028977799</v>
      </c>
      <c r="D265" s="29">
        <f t="shared" si="12"/>
        <v>-6.2515262618101364E-4</v>
      </c>
    </row>
    <row r="266" spans="1:4" x14ac:dyDescent="0.3">
      <c r="A266" s="26">
        <v>42537</v>
      </c>
      <c r="B266" s="27">
        <v>113.7658767700195</v>
      </c>
      <c r="C266" s="27">
        <f t="shared" si="11"/>
        <v>4.7341426240914073</v>
      </c>
      <c r="D266" s="29">
        <f t="shared" si="12"/>
        <v>-3.8726516649678633E-4</v>
      </c>
    </row>
    <row r="267" spans="1:4" x14ac:dyDescent="0.3">
      <c r="A267" s="26">
        <v>42538</v>
      </c>
      <c r="B267" s="27">
        <v>112.40334320068359</v>
      </c>
      <c r="C267" s="27">
        <f t="shared" si="11"/>
        <v>4.7220936807955773</v>
      </c>
      <c r="D267" s="29">
        <f t="shared" si="12"/>
        <v>-2.545116244389134E-3</v>
      </c>
    </row>
    <row r="268" spans="1:4" x14ac:dyDescent="0.3">
      <c r="A268" s="26">
        <v>42541</v>
      </c>
      <c r="B268" s="27">
        <v>112.7514343261719</v>
      </c>
      <c r="C268" s="27">
        <f t="shared" si="11"/>
        <v>4.7251856995982973</v>
      </c>
      <c r="D268" s="29">
        <f t="shared" si="12"/>
        <v>6.5479827630166021E-4</v>
      </c>
    </row>
    <row r="269" spans="1:4" x14ac:dyDescent="0.3">
      <c r="A269" s="26">
        <v>42542</v>
      </c>
      <c r="B269" s="27">
        <v>113.7559280395508</v>
      </c>
      <c r="C269" s="27">
        <f t="shared" si="11"/>
        <v>4.7340551711065535</v>
      </c>
      <c r="D269" s="29">
        <f t="shared" si="12"/>
        <v>1.8770630557463086E-3</v>
      </c>
    </row>
    <row r="270" spans="1:4" x14ac:dyDescent="0.3">
      <c r="A270" s="26">
        <v>42543</v>
      </c>
      <c r="B270" s="27">
        <v>113.2884902954102</v>
      </c>
      <c r="C270" s="27">
        <f t="shared" si="11"/>
        <v>4.7299375767785117</v>
      </c>
      <c r="D270" s="29">
        <f t="shared" si="12"/>
        <v>-8.6978165213891234E-4</v>
      </c>
    </row>
    <row r="271" spans="1:4" x14ac:dyDescent="0.3">
      <c r="A271" s="26">
        <v>42544</v>
      </c>
      <c r="B271" s="27">
        <v>114.4521102905273</v>
      </c>
      <c r="C271" s="27">
        <f t="shared" si="11"/>
        <v>4.740156484765305</v>
      </c>
      <c r="D271" s="29">
        <f t="shared" si="12"/>
        <v>2.1604741755922863E-3</v>
      </c>
    </row>
    <row r="272" spans="1:4" x14ac:dyDescent="0.3">
      <c r="A272" s="26">
        <v>42545</v>
      </c>
      <c r="B272" s="27">
        <v>111.4684753417969</v>
      </c>
      <c r="C272" s="27">
        <f t="shared" si="11"/>
        <v>4.7137418185632782</v>
      </c>
      <c r="D272" s="29">
        <f t="shared" si="12"/>
        <v>-5.5725304189687686E-3</v>
      </c>
    </row>
    <row r="273" spans="1:4" x14ac:dyDescent="0.3">
      <c r="A273" s="26">
        <v>42548</v>
      </c>
      <c r="B273" s="27">
        <v>108.3754425048828</v>
      </c>
      <c r="C273" s="27">
        <f t="shared" si="11"/>
        <v>4.6856015181824073</v>
      </c>
      <c r="D273" s="29">
        <f t="shared" si="12"/>
        <v>-5.9698433779404869E-3</v>
      </c>
    </row>
    <row r="274" spans="1:4" x14ac:dyDescent="0.3">
      <c r="A274" s="26">
        <v>42549</v>
      </c>
      <c r="B274" s="27">
        <v>112.08509826660161</v>
      </c>
      <c r="C274" s="27">
        <f t="shared" si="11"/>
        <v>4.7192583887404824</v>
      </c>
      <c r="D274" s="29">
        <f t="shared" si="12"/>
        <v>7.1830415854763352E-3</v>
      </c>
    </row>
    <row r="275" spans="1:4" x14ac:dyDescent="0.3">
      <c r="A275" s="26">
        <v>42550</v>
      </c>
      <c r="B275" s="27">
        <v>113.5371398925781</v>
      </c>
      <c r="C275" s="27">
        <f t="shared" si="11"/>
        <v>4.7321300071186059</v>
      </c>
      <c r="D275" s="29">
        <f t="shared" si="12"/>
        <v>2.7274663342937711E-3</v>
      </c>
    </row>
    <row r="276" spans="1:4" x14ac:dyDescent="0.3">
      <c r="A276" s="26">
        <v>42551</v>
      </c>
      <c r="B276" s="27">
        <v>113.65647125244141</v>
      </c>
      <c r="C276" s="27">
        <f t="shared" si="11"/>
        <v>4.733180488866183</v>
      </c>
      <c r="D276" s="29">
        <f t="shared" si="12"/>
        <v>2.2198919852089993E-4</v>
      </c>
    </row>
    <row r="277" spans="1:4" x14ac:dyDescent="0.3">
      <c r="A277" s="26">
        <v>42552</v>
      </c>
      <c r="B277" s="27">
        <v>113.5669708251953</v>
      </c>
      <c r="C277" s="27">
        <f t="shared" si="11"/>
        <v>4.7323927142329287</v>
      </c>
      <c r="D277" s="29">
        <f t="shared" si="12"/>
        <v>-1.6643663496618277E-4</v>
      </c>
    </row>
    <row r="278" spans="1:4" x14ac:dyDescent="0.3">
      <c r="A278" s="26">
        <v>42556</v>
      </c>
      <c r="B278" s="27">
        <v>113.576904296875</v>
      </c>
      <c r="C278" s="27">
        <f t="shared" si="11"/>
        <v>4.7324801783715129</v>
      </c>
      <c r="D278" s="29">
        <f t="shared" si="12"/>
        <v>1.8482011926224118E-5</v>
      </c>
    </row>
    <row r="279" spans="1:4" x14ac:dyDescent="0.3">
      <c r="A279" s="26">
        <v>42557</v>
      </c>
      <c r="B279" s="27">
        <v>116.0632705688477</v>
      </c>
      <c r="C279" s="27">
        <f t="shared" si="11"/>
        <v>4.7541354783485925</v>
      </c>
      <c r="D279" s="29">
        <f t="shared" si="12"/>
        <v>4.5758881518509487E-3</v>
      </c>
    </row>
    <row r="280" spans="1:4" x14ac:dyDescent="0.3">
      <c r="A280" s="26">
        <v>42558</v>
      </c>
      <c r="B280" s="27">
        <v>115.217903137207</v>
      </c>
      <c r="C280" s="27">
        <f t="shared" si="11"/>
        <v>4.7468251453641797</v>
      </c>
      <c r="D280" s="29">
        <f t="shared" si="12"/>
        <v>-1.5376787257548319E-3</v>
      </c>
    </row>
    <row r="281" spans="1:4" x14ac:dyDescent="0.3">
      <c r="A281" s="26">
        <v>42559</v>
      </c>
      <c r="B281" s="27">
        <v>116.6003112792969</v>
      </c>
      <c r="C281" s="27">
        <f t="shared" si="11"/>
        <v>4.758751943546593</v>
      </c>
      <c r="D281" s="29">
        <f t="shared" si="12"/>
        <v>2.5125842678366261E-3</v>
      </c>
    </row>
    <row r="282" spans="1:4" x14ac:dyDescent="0.3">
      <c r="A282" s="26">
        <v>42562</v>
      </c>
      <c r="B282" s="27">
        <v>117.2268905639648</v>
      </c>
      <c r="C282" s="27">
        <f t="shared" si="11"/>
        <v>4.764111292497252</v>
      </c>
      <c r="D282" s="29">
        <f t="shared" si="12"/>
        <v>1.126208933400541E-3</v>
      </c>
    </row>
    <row r="283" spans="1:4" x14ac:dyDescent="0.3">
      <c r="A283" s="26">
        <v>42563</v>
      </c>
      <c r="B283" s="27">
        <v>117.28656005859381</v>
      </c>
      <c r="C283" s="27">
        <f t="shared" si="11"/>
        <v>4.7646201715893319</v>
      </c>
      <c r="D283" s="29">
        <f t="shared" si="12"/>
        <v>1.0681511426513524E-4</v>
      </c>
    </row>
    <row r="284" spans="1:4" x14ac:dyDescent="0.3">
      <c r="A284" s="26">
        <v>42564</v>
      </c>
      <c r="B284" s="27">
        <v>116.14284515380859</v>
      </c>
      <c r="C284" s="27">
        <f t="shared" si="11"/>
        <v>4.7548208572657513</v>
      </c>
      <c r="D284" s="29">
        <f t="shared" si="12"/>
        <v>-2.0566832130738399E-3</v>
      </c>
    </row>
    <row r="285" spans="1:4" x14ac:dyDescent="0.3">
      <c r="A285" s="26">
        <v>42565</v>
      </c>
      <c r="B285" s="27">
        <v>116.65004730224609</v>
      </c>
      <c r="C285" s="27">
        <f t="shared" si="11"/>
        <v>4.7591784039731095</v>
      </c>
      <c r="D285" s="29">
        <f t="shared" si="12"/>
        <v>9.1644813509628165E-4</v>
      </c>
    </row>
    <row r="286" spans="1:4" x14ac:dyDescent="0.3">
      <c r="A286" s="26">
        <v>42566</v>
      </c>
      <c r="B286" s="27">
        <v>116.22239685058589</v>
      </c>
      <c r="C286" s="27">
        <f t="shared" si="11"/>
        <v>4.7555055698260222</v>
      </c>
      <c r="D286" s="29">
        <f t="shared" si="12"/>
        <v>-7.7173701746946488E-4</v>
      </c>
    </row>
    <row r="287" spans="1:4" x14ac:dyDescent="0.3">
      <c r="A287" s="26">
        <v>42569</v>
      </c>
      <c r="B287" s="27">
        <v>118.7187042236328</v>
      </c>
      <c r="C287" s="27">
        <f t="shared" si="11"/>
        <v>4.7767568648011567</v>
      </c>
      <c r="D287" s="29">
        <f t="shared" si="12"/>
        <v>4.4687772231779554E-3</v>
      </c>
    </row>
    <row r="288" spans="1:4" x14ac:dyDescent="0.3">
      <c r="A288" s="26">
        <v>42570</v>
      </c>
      <c r="B288" s="27">
        <v>119.9519424438477</v>
      </c>
      <c r="C288" s="27">
        <f t="shared" si="11"/>
        <v>4.7870911829340583</v>
      </c>
      <c r="D288" s="29">
        <f t="shared" si="12"/>
        <v>2.1634591052881458E-3</v>
      </c>
    </row>
    <row r="289" spans="1:4" x14ac:dyDescent="0.3">
      <c r="A289" s="26">
        <v>42571</v>
      </c>
      <c r="B289" s="27">
        <v>121.25478363037109</v>
      </c>
      <c r="C289" s="27">
        <f t="shared" si="11"/>
        <v>4.7978939816609758</v>
      </c>
      <c r="D289" s="29">
        <f t="shared" si="12"/>
        <v>2.2566519654836359E-3</v>
      </c>
    </row>
    <row r="290" spans="1:4" x14ac:dyDescent="0.3">
      <c r="A290" s="26">
        <v>42572</v>
      </c>
      <c r="B290" s="27">
        <v>119.9519424438477</v>
      </c>
      <c r="C290" s="27">
        <f t="shared" si="11"/>
        <v>4.7870911829340583</v>
      </c>
      <c r="D290" s="29">
        <f t="shared" si="12"/>
        <v>-2.2515709534660644E-3</v>
      </c>
    </row>
    <row r="291" spans="1:4" x14ac:dyDescent="0.3">
      <c r="A291" s="26">
        <v>42573</v>
      </c>
      <c r="B291" s="27">
        <v>120.3398056030273</v>
      </c>
      <c r="C291" s="27">
        <f t="shared" si="11"/>
        <v>4.7903194543930887</v>
      </c>
      <c r="D291" s="29">
        <f t="shared" si="12"/>
        <v>6.7437016251936654E-4</v>
      </c>
    </row>
    <row r="292" spans="1:4" x14ac:dyDescent="0.3">
      <c r="A292" s="26">
        <v>42576</v>
      </c>
      <c r="B292" s="27">
        <v>120.96636962890619</v>
      </c>
      <c r="C292" s="27">
        <f t="shared" si="11"/>
        <v>4.7955125700139201</v>
      </c>
      <c r="D292" s="29">
        <f t="shared" si="12"/>
        <v>1.0840854498896935E-3</v>
      </c>
    </row>
    <row r="293" spans="1:4" x14ac:dyDescent="0.3">
      <c r="A293" s="26">
        <v>42577</v>
      </c>
      <c r="B293" s="27">
        <v>120.5586013793945</v>
      </c>
      <c r="C293" s="27">
        <f t="shared" si="11"/>
        <v>4.7921359532173913</v>
      </c>
      <c r="D293" s="29">
        <f t="shared" si="12"/>
        <v>-7.041201012886189E-4</v>
      </c>
    </row>
    <row r="294" spans="1:4" x14ac:dyDescent="0.3">
      <c r="A294" s="26">
        <v>42578</v>
      </c>
      <c r="B294" s="27">
        <v>122.6670379638672</v>
      </c>
      <c r="C294" s="27">
        <f t="shared" si="11"/>
        <v>4.8094736763755925</v>
      </c>
      <c r="D294" s="29">
        <f t="shared" si="12"/>
        <v>3.6179531063931236E-3</v>
      </c>
    </row>
    <row r="295" spans="1:4" x14ac:dyDescent="0.3">
      <c r="A295" s="26">
        <v>42579</v>
      </c>
      <c r="B295" s="27">
        <v>124.317985534668</v>
      </c>
      <c r="C295" s="27">
        <f t="shared" si="11"/>
        <v>4.8228426826163346</v>
      </c>
      <c r="D295" s="29">
        <f t="shared" si="12"/>
        <v>2.7797233419555312E-3</v>
      </c>
    </row>
    <row r="296" spans="1:4" x14ac:dyDescent="0.3">
      <c r="A296" s="26">
        <v>42580</v>
      </c>
      <c r="B296" s="27">
        <v>123.26377105712891</v>
      </c>
      <c r="C296" s="27">
        <f t="shared" si="11"/>
        <v>4.8143265393962063</v>
      </c>
      <c r="D296" s="29">
        <f t="shared" si="12"/>
        <v>-1.7657932842852775E-3</v>
      </c>
    </row>
    <row r="297" spans="1:4" x14ac:dyDescent="0.3">
      <c r="A297" s="26">
        <v>42583</v>
      </c>
      <c r="B297" s="27">
        <v>123.6317520141602</v>
      </c>
      <c r="C297" s="27">
        <f t="shared" si="11"/>
        <v>4.8173074053505998</v>
      </c>
      <c r="D297" s="29">
        <f t="shared" si="12"/>
        <v>6.1916571923426034E-4</v>
      </c>
    </row>
    <row r="298" spans="1:4" x14ac:dyDescent="0.3">
      <c r="A298" s="26">
        <v>42584</v>
      </c>
      <c r="B298" s="27">
        <v>122.41839599609381</v>
      </c>
      <c r="C298" s="27">
        <f t="shared" si="11"/>
        <v>4.8074446528709345</v>
      </c>
      <c r="D298" s="29">
        <f t="shared" si="12"/>
        <v>-2.0473579221269578E-3</v>
      </c>
    </row>
    <row r="299" spans="1:4" x14ac:dyDescent="0.3">
      <c r="A299" s="26">
        <v>42585</v>
      </c>
      <c r="B299" s="27">
        <v>121.84156799316411</v>
      </c>
      <c r="C299" s="27">
        <f t="shared" si="11"/>
        <v>4.802721577784828</v>
      </c>
      <c r="D299" s="29">
        <f t="shared" si="12"/>
        <v>-9.8245022608545174E-4</v>
      </c>
    </row>
    <row r="300" spans="1:4" x14ac:dyDescent="0.3">
      <c r="A300" s="26">
        <v>42586</v>
      </c>
      <c r="B300" s="27">
        <v>123.6814727783203</v>
      </c>
      <c r="C300" s="27">
        <f t="shared" si="11"/>
        <v>4.8177094927429884</v>
      </c>
      <c r="D300" s="29">
        <f t="shared" si="12"/>
        <v>3.1207128532055872E-3</v>
      </c>
    </row>
    <row r="301" spans="1:4" x14ac:dyDescent="0.3">
      <c r="A301" s="26">
        <v>42587</v>
      </c>
      <c r="B301" s="27">
        <v>124.4671630859375</v>
      </c>
      <c r="C301" s="27">
        <f t="shared" si="11"/>
        <v>4.8240419308027764</v>
      </c>
      <c r="D301" s="29">
        <f t="shared" si="12"/>
        <v>1.314408448522375E-3</v>
      </c>
    </row>
    <row r="302" spans="1:4" x14ac:dyDescent="0.3">
      <c r="A302" s="26">
        <v>42590</v>
      </c>
      <c r="B302" s="27">
        <v>124.57656097412109</v>
      </c>
      <c r="C302" s="27">
        <f t="shared" si="11"/>
        <v>4.8249204744852801</v>
      </c>
      <c r="D302" s="29">
        <f t="shared" si="12"/>
        <v>1.8211775417920073E-4</v>
      </c>
    </row>
    <row r="303" spans="1:4" x14ac:dyDescent="0.3">
      <c r="A303" s="26">
        <v>42591</v>
      </c>
      <c r="B303" s="27">
        <v>124.3776550292969</v>
      </c>
      <c r="C303" s="27">
        <f t="shared" si="11"/>
        <v>4.8233225422201347</v>
      </c>
      <c r="D303" s="29">
        <f t="shared" si="12"/>
        <v>-3.3118313008373423E-4</v>
      </c>
    </row>
    <row r="304" spans="1:4" x14ac:dyDescent="0.3">
      <c r="A304" s="26">
        <v>42592</v>
      </c>
      <c r="B304" s="27">
        <v>124.19863128662109</v>
      </c>
      <c r="C304" s="27">
        <f t="shared" si="11"/>
        <v>4.8218821492021098</v>
      </c>
      <c r="D304" s="29">
        <f t="shared" si="12"/>
        <v>-2.9863087227044449E-4</v>
      </c>
    </row>
    <row r="305" spans="1:4" x14ac:dyDescent="0.3">
      <c r="A305" s="26">
        <v>42593</v>
      </c>
      <c r="B305" s="27">
        <v>124.21852874755859</v>
      </c>
      <c r="C305" s="27">
        <f t="shared" si="11"/>
        <v>4.82204234313539</v>
      </c>
      <c r="D305" s="29">
        <f t="shared" si="12"/>
        <v>3.3222282984857188E-5</v>
      </c>
    </row>
    <row r="306" spans="1:4" x14ac:dyDescent="0.3">
      <c r="A306" s="26">
        <v>42594</v>
      </c>
      <c r="B306" s="27">
        <v>124.19863128662109</v>
      </c>
      <c r="C306" s="27">
        <f t="shared" si="11"/>
        <v>4.8218821492021098</v>
      </c>
      <c r="D306" s="29">
        <f t="shared" si="12"/>
        <v>-3.3221179301379244E-5</v>
      </c>
    </row>
    <row r="307" spans="1:4" x14ac:dyDescent="0.3">
      <c r="A307" s="26">
        <v>42597</v>
      </c>
      <c r="B307" s="27">
        <v>123.22398376464839</v>
      </c>
      <c r="C307" s="27">
        <f t="shared" si="11"/>
        <v>4.8140037055673632</v>
      </c>
      <c r="D307" s="29">
        <f t="shared" si="12"/>
        <v>-1.6338938594859798E-3</v>
      </c>
    </row>
    <row r="308" spans="1:4" x14ac:dyDescent="0.3">
      <c r="A308" s="26">
        <v>42598</v>
      </c>
      <c r="B308" s="27">
        <v>122.6272659301758</v>
      </c>
      <c r="C308" s="27">
        <f t="shared" si="11"/>
        <v>4.8091493962483449</v>
      </c>
      <c r="D308" s="29">
        <f t="shared" si="12"/>
        <v>-1.0083725763244678E-3</v>
      </c>
    </row>
    <row r="309" spans="1:4" x14ac:dyDescent="0.3">
      <c r="A309" s="26">
        <v>42599</v>
      </c>
      <c r="B309" s="27">
        <v>123.69142150878911</v>
      </c>
      <c r="C309" s="27">
        <f t="shared" si="11"/>
        <v>4.8177899278327168</v>
      </c>
      <c r="D309" s="29">
        <f t="shared" si="12"/>
        <v>1.7966860399705187E-3</v>
      </c>
    </row>
    <row r="310" spans="1:4" x14ac:dyDescent="0.3">
      <c r="A310" s="26">
        <v>42600</v>
      </c>
      <c r="B310" s="27">
        <v>123.2339401245117</v>
      </c>
      <c r="C310" s="27">
        <f t="shared" si="11"/>
        <v>4.8140845011831956</v>
      </c>
      <c r="D310" s="29">
        <f t="shared" si="12"/>
        <v>-7.6911337045115769E-4</v>
      </c>
    </row>
    <row r="311" spans="1:4" x14ac:dyDescent="0.3">
      <c r="A311" s="26">
        <v>42601</v>
      </c>
      <c r="B311" s="27">
        <v>122.8858337402344</v>
      </c>
      <c r="C311" s="27">
        <f t="shared" si="11"/>
        <v>4.8112557433720191</v>
      </c>
      <c r="D311" s="29">
        <f t="shared" si="12"/>
        <v>-5.8760036523686221E-4</v>
      </c>
    </row>
    <row r="312" spans="1:4" x14ac:dyDescent="0.3">
      <c r="A312" s="26">
        <v>42604</v>
      </c>
      <c r="B312" s="27">
        <v>123.4726257324219</v>
      </c>
      <c r="C312" s="27">
        <f t="shared" si="11"/>
        <v>4.8160194775106691</v>
      </c>
      <c r="D312" s="29">
        <f t="shared" si="12"/>
        <v>9.9012282712518385E-4</v>
      </c>
    </row>
    <row r="313" spans="1:4" x14ac:dyDescent="0.3">
      <c r="A313" s="26">
        <v>42605</v>
      </c>
      <c r="B313" s="27">
        <v>123.69142150878911</v>
      </c>
      <c r="C313" s="27">
        <f t="shared" si="11"/>
        <v>4.8177899278327168</v>
      </c>
      <c r="D313" s="29">
        <f t="shared" si="12"/>
        <v>3.6761693558662323E-4</v>
      </c>
    </row>
    <row r="314" spans="1:4" x14ac:dyDescent="0.3">
      <c r="A314" s="26">
        <v>42606</v>
      </c>
      <c r="B314" s="27">
        <v>122.8062744140625</v>
      </c>
      <c r="C314" s="27">
        <f t="shared" si="11"/>
        <v>4.8106081089848152</v>
      </c>
      <c r="D314" s="29">
        <f t="shared" si="12"/>
        <v>-1.4906874221334299E-3</v>
      </c>
    </row>
    <row r="315" spans="1:4" x14ac:dyDescent="0.3">
      <c r="A315" s="26">
        <v>42607</v>
      </c>
      <c r="B315" s="27">
        <v>123.2140426635742</v>
      </c>
      <c r="C315" s="27">
        <f t="shared" si="11"/>
        <v>4.8139230272627715</v>
      </c>
      <c r="D315" s="29">
        <f t="shared" si="12"/>
        <v>6.8908508089959852E-4</v>
      </c>
    </row>
    <row r="316" spans="1:4" x14ac:dyDescent="0.3">
      <c r="A316" s="26">
        <v>42608</v>
      </c>
      <c r="B316" s="27">
        <v>124.2781982421875</v>
      </c>
      <c r="C316" s="27">
        <f t="shared" si="11"/>
        <v>4.8225225868512611</v>
      </c>
      <c r="D316" s="29">
        <f t="shared" si="12"/>
        <v>1.7863932472097499E-3</v>
      </c>
    </row>
    <row r="317" spans="1:4" x14ac:dyDescent="0.3">
      <c r="A317" s="26">
        <v>42611</v>
      </c>
      <c r="B317" s="27">
        <v>125.8495712280273</v>
      </c>
      <c r="C317" s="27">
        <f t="shared" si="11"/>
        <v>4.8350873145673949</v>
      </c>
      <c r="D317" s="29">
        <f t="shared" si="12"/>
        <v>2.6054264111468051E-3</v>
      </c>
    </row>
    <row r="318" spans="1:4" x14ac:dyDescent="0.3">
      <c r="A318" s="26">
        <v>42612</v>
      </c>
      <c r="B318" s="27">
        <v>125.1534042358398</v>
      </c>
      <c r="C318" s="27">
        <f t="shared" si="11"/>
        <v>4.8295402187530598</v>
      </c>
      <c r="D318" s="29">
        <f t="shared" si="12"/>
        <v>-1.1472586643104243E-3</v>
      </c>
    </row>
    <row r="319" spans="1:4" x14ac:dyDescent="0.3">
      <c r="A319" s="26">
        <v>42613</v>
      </c>
      <c r="B319" s="27">
        <v>125.4318771362305</v>
      </c>
      <c r="C319" s="27">
        <f t="shared" si="11"/>
        <v>4.8317627995327515</v>
      </c>
      <c r="D319" s="29">
        <f t="shared" si="12"/>
        <v>4.6020546035863141E-4</v>
      </c>
    </row>
    <row r="320" spans="1:4" x14ac:dyDescent="0.3">
      <c r="A320" s="26">
        <v>42614</v>
      </c>
      <c r="B320" s="27">
        <v>125.48159027099609</v>
      </c>
      <c r="C320" s="27">
        <f t="shared" si="11"/>
        <v>4.8321590567438912</v>
      </c>
      <c r="D320" s="29">
        <f t="shared" si="12"/>
        <v>8.2010899040474428E-5</v>
      </c>
    </row>
    <row r="321" spans="1:4" x14ac:dyDescent="0.3">
      <c r="A321" s="26">
        <v>42615</v>
      </c>
      <c r="B321" s="27">
        <v>125.8197479248047</v>
      </c>
      <c r="C321" s="27">
        <f t="shared" si="11"/>
        <v>4.8348503106810048</v>
      </c>
      <c r="D321" s="29">
        <f t="shared" si="12"/>
        <v>5.5694647165172029E-4</v>
      </c>
    </row>
    <row r="322" spans="1:4" x14ac:dyDescent="0.3">
      <c r="A322" s="26">
        <v>42619</v>
      </c>
      <c r="B322" s="27">
        <v>129.0221862792969</v>
      </c>
      <c r="C322" s="27">
        <f t="shared" si="11"/>
        <v>4.8599843762348778</v>
      </c>
      <c r="D322" s="29">
        <f t="shared" si="12"/>
        <v>5.1985199000572635E-3</v>
      </c>
    </row>
    <row r="323" spans="1:4" x14ac:dyDescent="0.3">
      <c r="A323" s="26">
        <v>42620</v>
      </c>
      <c r="B323" s="27">
        <v>130.33497619628909</v>
      </c>
      <c r="C323" s="27">
        <f t="shared" ref="C323:C386" si="13">LN(B323)</f>
        <v>4.8701078763244299</v>
      </c>
      <c r="D323" s="29">
        <f t="shared" si="12"/>
        <v>2.0830314062438848E-3</v>
      </c>
    </row>
    <row r="324" spans="1:4" x14ac:dyDescent="0.3">
      <c r="A324" s="26">
        <v>42621</v>
      </c>
      <c r="B324" s="27">
        <v>129.55921936035159</v>
      </c>
      <c r="C324" s="27">
        <f t="shared" si="13"/>
        <v>4.8641380689712346</v>
      </c>
      <c r="D324" s="29">
        <f t="shared" ref="D324:D387" si="14">C324/C323-1</f>
        <v>-1.2258059790044573E-3</v>
      </c>
    </row>
    <row r="325" spans="1:4" x14ac:dyDescent="0.3">
      <c r="A325" s="26">
        <v>42622</v>
      </c>
      <c r="B325" s="27">
        <v>126.4065246582031</v>
      </c>
      <c r="C325" s="27">
        <f t="shared" si="13"/>
        <v>4.8395030995118891</v>
      </c>
      <c r="D325" s="29">
        <f t="shared" si="14"/>
        <v>-5.064611470734004E-3</v>
      </c>
    </row>
    <row r="326" spans="1:4" x14ac:dyDescent="0.3">
      <c r="A326" s="26">
        <v>42625</v>
      </c>
      <c r="B326" s="27">
        <v>127.9878692626953</v>
      </c>
      <c r="C326" s="27">
        <f t="shared" si="13"/>
        <v>4.851935488043333</v>
      </c>
      <c r="D326" s="29">
        <f t="shared" si="14"/>
        <v>2.568939057544517E-3</v>
      </c>
    </row>
    <row r="327" spans="1:4" x14ac:dyDescent="0.3">
      <c r="A327" s="26">
        <v>42626</v>
      </c>
      <c r="B327" s="27">
        <v>126.51593017578119</v>
      </c>
      <c r="C327" s="27">
        <f t="shared" si="13"/>
        <v>4.8403682304823574</v>
      </c>
      <c r="D327" s="29">
        <f t="shared" si="14"/>
        <v>-2.3840501567840011E-3</v>
      </c>
    </row>
    <row r="328" spans="1:4" x14ac:dyDescent="0.3">
      <c r="A328" s="26">
        <v>42627</v>
      </c>
      <c r="B328" s="27">
        <v>127.072868347168</v>
      </c>
      <c r="C328" s="27">
        <f t="shared" si="13"/>
        <v>4.8447606884306547</v>
      </c>
      <c r="D328" s="29">
        <f t="shared" si="14"/>
        <v>9.0746359350002415E-4</v>
      </c>
    </row>
    <row r="329" spans="1:4" x14ac:dyDescent="0.3">
      <c r="A329" s="26">
        <v>42628</v>
      </c>
      <c r="B329" s="27">
        <v>127.64971923828119</v>
      </c>
      <c r="C329" s="27">
        <f t="shared" si="13"/>
        <v>4.8492899442199837</v>
      </c>
      <c r="D329" s="29">
        <f t="shared" si="14"/>
        <v>9.3487709313389011E-4</v>
      </c>
    </row>
    <row r="330" spans="1:4" x14ac:dyDescent="0.3">
      <c r="A330" s="26">
        <v>42629</v>
      </c>
      <c r="B330" s="27">
        <v>128.36578369140619</v>
      </c>
      <c r="C330" s="27">
        <f t="shared" si="13"/>
        <v>4.8548838735890252</v>
      </c>
      <c r="D330" s="29">
        <f t="shared" si="14"/>
        <v>1.1535563831792661E-3</v>
      </c>
    </row>
    <row r="331" spans="1:4" x14ac:dyDescent="0.3">
      <c r="A331" s="26">
        <v>42632</v>
      </c>
      <c r="B331" s="27">
        <v>127.9480514526367</v>
      </c>
      <c r="C331" s="27">
        <f t="shared" si="13"/>
        <v>4.8516243335147413</v>
      </c>
      <c r="D331" s="29">
        <f t="shared" si="14"/>
        <v>-6.7139403519334007E-4</v>
      </c>
    </row>
    <row r="332" spans="1:4" x14ac:dyDescent="0.3">
      <c r="A332" s="26">
        <v>42633</v>
      </c>
      <c r="B332" s="27">
        <v>127.938117980957</v>
      </c>
      <c r="C332" s="27">
        <f t="shared" si="13"/>
        <v>4.8515466937446305</v>
      </c>
      <c r="D332" s="29">
        <f t="shared" si="14"/>
        <v>-1.6002840445561439E-5</v>
      </c>
    </row>
    <row r="333" spans="1:4" x14ac:dyDescent="0.3">
      <c r="A333" s="26">
        <v>42634</v>
      </c>
      <c r="B333" s="27">
        <v>129.23103332519531</v>
      </c>
      <c r="C333" s="27">
        <f t="shared" si="13"/>
        <v>4.861601758521501</v>
      </c>
      <c r="D333" s="29">
        <f t="shared" si="14"/>
        <v>2.0725482844130561E-3</v>
      </c>
    </row>
    <row r="334" spans="1:4" x14ac:dyDescent="0.3">
      <c r="A334" s="26">
        <v>42635</v>
      </c>
      <c r="B334" s="27">
        <v>129.3702697753906</v>
      </c>
      <c r="C334" s="27">
        <f t="shared" si="13"/>
        <v>4.8626786012286383</v>
      </c>
      <c r="D334" s="29">
        <f t="shared" si="14"/>
        <v>2.2149957166894829E-4</v>
      </c>
    </row>
    <row r="335" spans="1:4" x14ac:dyDescent="0.3">
      <c r="A335" s="26">
        <v>42636</v>
      </c>
      <c r="B335" s="27">
        <v>127.261833190918</v>
      </c>
      <c r="C335" s="27">
        <f t="shared" si="13"/>
        <v>4.8462466427843296</v>
      </c>
      <c r="D335" s="29">
        <f t="shared" si="14"/>
        <v>-3.3791989542876211E-3</v>
      </c>
    </row>
    <row r="336" spans="1:4" x14ac:dyDescent="0.3">
      <c r="A336" s="26">
        <v>42639</v>
      </c>
      <c r="B336" s="27">
        <v>126.61537933349609</v>
      </c>
      <c r="C336" s="27">
        <f t="shared" si="13"/>
        <v>4.8411539820594687</v>
      </c>
      <c r="D336" s="29">
        <f t="shared" si="14"/>
        <v>-1.0508463766373266E-3</v>
      </c>
    </row>
    <row r="337" spans="1:4" x14ac:dyDescent="0.3">
      <c r="A337" s="26">
        <v>42640</v>
      </c>
      <c r="B337" s="27">
        <v>127.9878692626953</v>
      </c>
      <c r="C337" s="27">
        <f t="shared" si="13"/>
        <v>4.851935488043333</v>
      </c>
      <c r="D337" s="29">
        <f t="shared" si="14"/>
        <v>2.2270528935495193E-3</v>
      </c>
    </row>
    <row r="338" spans="1:4" x14ac:dyDescent="0.3">
      <c r="A338" s="26">
        <v>42641</v>
      </c>
      <c r="B338" s="27">
        <v>128.52490234375</v>
      </c>
      <c r="C338" s="27">
        <f t="shared" si="13"/>
        <v>4.8561226781182878</v>
      </c>
      <c r="D338" s="29">
        <f t="shared" si="14"/>
        <v>8.6299376512188886E-4</v>
      </c>
    </row>
    <row r="339" spans="1:4" x14ac:dyDescent="0.3">
      <c r="A339" s="26">
        <v>42642</v>
      </c>
      <c r="B339" s="27">
        <v>127.3911209106445</v>
      </c>
      <c r="C339" s="27">
        <f t="shared" si="13"/>
        <v>4.8472620461303544</v>
      </c>
      <c r="D339" s="29">
        <f t="shared" si="14"/>
        <v>-1.8246310019842671E-3</v>
      </c>
    </row>
    <row r="340" spans="1:4" x14ac:dyDescent="0.3">
      <c r="A340" s="26">
        <v>42643</v>
      </c>
      <c r="B340" s="27">
        <v>127.5701522827148</v>
      </c>
      <c r="C340" s="27">
        <f t="shared" si="13"/>
        <v>4.8486664272683448</v>
      </c>
      <c r="D340" s="29">
        <f t="shared" si="14"/>
        <v>2.8972667964421994E-4</v>
      </c>
    </row>
    <row r="341" spans="1:4" x14ac:dyDescent="0.3">
      <c r="A341" s="26">
        <v>42646</v>
      </c>
      <c r="B341" s="27">
        <v>128.06742858886719</v>
      </c>
      <c r="C341" s="27">
        <f t="shared" si="13"/>
        <v>4.8525569110671851</v>
      </c>
      <c r="D341" s="29">
        <f t="shared" si="14"/>
        <v>8.0238223379547335E-4</v>
      </c>
    </row>
    <row r="342" spans="1:4" x14ac:dyDescent="0.3">
      <c r="A342" s="26">
        <v>42647</v>
      </c>
      <c r="B342" s="27">
        <v>127.49057769775391</v>
      </c>
      <c r="C342" s="27">
        <f t="shared" si="13"/>
        <v>4.848042461457938</v>
      </c>
      <c r="D342" s="29">
        <f t="shared" si="14"/>
        <v>-9.303238873821229E-4</v>
      </c>
    </row>
    <row r="343" spans="1:4" x14ac:dyDescent="0.3">
      <c r="A343" s="26">
        <v>42648</v>
      </c>
      <c r="B343" s="27">
        <v>127.7690505981445</v>
      </c>
      <c r="C343" s="27">
        <f t="shared" si="13"/>
        <v>4.8502243420218525</v>
      </c>
      <c r="D343" s="29">
        <f t="shared" si="14"/>
        <v>4.500539302740858E-4</v>
      </c>
    </row>
    <row r="344" spans="1:4" x14ac:dyDescent="0.3">
      <c r="A344" s="26">
        <v>42649</v>
      </c>
      <c r="B344" s="27">
        <v>128.03758239746091</v>
      </c>
      <c r="C344" s="27">
        <f t="shared" si="13"/>
        <v>4.8523238333040712</v>
      </c>
      <c r="D344" s="29">
        <f t="shared" si="14"/>
        <v>4.3286477782666921E-4</v>
      </c>
    </row>
    <row r="345" spans="1:4" x14ac:dyDescent="0.3">
      <c r="A345" s="26">
        <v>42650</v>
      </c>
      <c r="B345" s="27">
        <v>128.28623962402341</v>
      </c>
      <c r="C345" s="27">
        <f t="shared" si="13"/>
        <v>4.854264014303272</v>
      </c>
      <c r="D345" s="29">
        <f t="shared" si="14"/>
        <v>3.9984573698159664E-4</v>
      </c>
    </row>
    <row r="346" spans="1:4" x14ac:dyDescent="0.3">
      <c r="A346" s="26">
        <v>42653</v>
      </c>
      <c r="B346" s="27">
        <v>129.52940368652341</v>
      </c>
      <c r="C346" s="27">
        <f t="shared" si="13"/>
        <v>4.8639079108607843</v>
      </c>
      <c r="D346" s="29">
        <f t="shared" si="14"/>
        <v>1.9866856291903545E-3</v>
      </c>
    </row>
    <row r="347" spans="1:4" x14ac:dyDescent="0.3">
      <c r="A347" s="26">
        <v>42654</v>
      </c>
      <c r="B347" s="27">
        <v>128.17681884765619</v>
      </c>
      <c r="C347" s="27">
        <f t="shared" si="13"/>
        <v>4.8534107079155318</v>
      </c>
      <c r="D347" s="29">
        <f t="shared" si="14"/>
        <v>-2.1581829133345831E-3</v>
      </c>
    </row>
    <row r="348" spans="1:4" x14ac:dyDescent="0.3">
      <c r="A348" s="26">
        <v>42655</v>
      </c>
      <c r="B348" s="27">
        <v>128.34590148925781</v>
      </c>
      <c r="C348" s="27">
        <f t="shared" si="13"/>
        <v>4.8547289745070126</v>
      </c>
      <c r="D348" s="29">
        <f t="shared" si="14"/>
        <v>2.7161653336493785E-4</v>
      </c>
    </row>
    <row r="349" spans="1:4" x14ac:dyDescent="0.3">
      <c r="A349" s="26">
        <v>42656</v>
      </c>
      <c r="B349" s="27">
        <v>127.1225967407227</v>
      </c>
      <c r="C349" s="27">
        <f t="shared" si="13"/>
        <v>4.845151949495615</v>
      </c>
      <c r="D349" s="29">
        <f t="shared" si="14"/>
        <v>-1.9727208381122852E-3</v>
      </c>
    </row>
    <row r="350" spans="1:4" x14ac:dyDescent="0.3">
      <c r="A350" s="26">
        <v>42657</v>
      </c>
      <c r="B350" s="27">
        <v>127.182258605957</v>
      </c>
      <c r="C350" s="27">
        <f t="shared" si="13"/>
        <v>4.8456211648100256</v>
      </c>
      <c r="D350" s="29">
        <f t="shared" si="14"/>
        <v>9.6842228954230336E-5</v>
      </c>
    </row>
    <row r="351" spans="1:4" x14ac:dyDescent="0.3">
      <c r="A351" s="26">
        <v>42660</v>
      </c>
      <c r="B351" s="27">
        <v>126.844123840332</v>
      </c>
      <c r="C351" s="27">
        <f t="shared" si="13"/>
        <v>4.8429589612855359</v>
      </c>
      <c r="D351" s="29">
        <f t="shared" si="14"/>
        <v>-5.4940397400915497E-4</v>
      </c>
    </row>
    <row r="352" spans="1:4" x14ac:dyDescent="0.3">
      <c r="A352" s="26">
        <v>42661</v>
      </c>
      <c r="B352" s="27">
        <v>127.86851501464839</v>
      </c>
      <c r="C352" s="27">
        <f t="shared" si="13"/>
        <v>4.8510025095128837</v>
      </c>
      <c r="D352" s="29">
        <f t="shared" si="14"/>
        <v>1.6608747444790684E-3</v>
      </c>
    </row>
    <row r="353" spans="1:4" x14ac:dyDescent="0.3">
      <c r="A353" s="26">
        <v>42662</v>
      </c>
      <c r="B353" s="27">
        <v>129.40008544921881</v>
      </c>
      <c r="C353" s="27">
        <f t="shared" si="13"/>
        <v>4.8629090424160317</v>
      </c>
      <c r="D353" s="29">
        <f t="shared" si="14"/>
        <v>2.4544478960377702E-3</v>
      </c>
    </row>
    <row r="354" spans="1:4" x14ac:dyDescent="0.3">
      <c r="A354" s="26">
        <v>42663</v>
      </c>
      <c r="B354" s="27">
        <v>129.29071044921881</v>
      </c>
      <c r="C354" s="27">
        <f t="shared" si="13"/>
        <v>4.8620634382565378</v>
      </c>
      <c r="D354" s="29">
        <f t="shared" si="14"/>
        <v>-1.7388854122468711E-4</v>
      </c>
    </row>
    <row r="355" spans="1:4" x14ac:dyDescent="0.3">
      <c r="A355" s="26">
        <v>42664</v>
      </c>
      <c r="B355" s="27">
        <v>131.34941101074219</v>
      </c>
      <c r="C355" s="27">
        <f t="shared" si="13"/>
        <v>4.8778610320007658</v>
      </c>
      <c r="D355" s="29">
        <f t="shared" si="14"/>
        <v>3.2491541800805379E-3</v>
      </c>
    </row>
    <row r="356" spans="1:4" x14ac:dyDescent="0.3">
      <c r="A356" s="26">
        <v>42667</v>
      </c>
      <c r="B356" s="27">
        <v>132.55281066894531</v>
      </c>
      <c r="C356" s="27">
        <f t="shared" si="13"/>
        <v>4.8869811371043008</v>
      </c>
      <c r="D356" s="29">
        <f t="shared" si="14"/>
        <v>1.8696935078108545E-3</v>
      </c>
    </row>
    <row r="357" spans="1:4" x14ac:dyDescent="0.3">
      <c r="A357" s="26">
        <v>42668</v>
      </c>
      <c r="B357" s="27">
        <v>131.56819152832031</v>
      </c>
      <c r="C357" s="27">
        <f t="shared" si="13"/>
        <v>4.8795252839638321</v>
      </c>
      <c r="D357" s="29">
        <f t="shared" si="14"/>
        <v>-1.5256562141933161E-3</v>
      </c>
    </row>
    <row r="358" spans="1:4" x14ac:dyDescent="0.3">
      <c r="A358" s="26">
        <v>42669</v>
      </c>
      <c r="B358" s="27">
        <v>130.32501220703119</v>
      </c>
      <c r="C358" s="27">
        <f t="shared" si="13"/>
        <v>4.8700314243202403</v>
      </c>
      <c r="D358" s="29">
        <f t="shared" si="14"/>
        <v>-1.9456523106443635E-3</v>
      </c>
    </row>
    <row r="359" spans="1:4" x14ac:dyDescent="0.3">
      <c r="A359" s="26">
        <v>42670</v>
      </c>
      <c r="B359" s="27">
        <v>128.98237609863281</v>
      </c>
      <c r="C359" s="27">
        <f t="shared" si="13"/>
        <v>4.8596757756379496</v>
      </c>
      <c r="D359" s="29">
        <f t="shared" si="14"/>
        <v>-2.1264028463093831E-3</v>
      </c>
    </row>
    <row r="360" spans="1:4" x14ac:dyDescent="0.3">
      <c r="A360" s="26">
        <v>42671</v>
      </c>
      <c r="B360" s="27">
        <v>130.57368469238281</v>
      </c>
      <c r="C360" s="27">
        <f t="shared" si="13"/>
        <v>4.8719377010752485</v>
      </c>
      <c r="D360" s="29">
        <f t="shared" si="14"/>
        <v>2.5231982550706356E-3</v>
      </c>
    </row>
    <row r="361" spans="1:4" x14ac:dyDescent="0.3">
      <c r="A361" s="26">
        <v>42674</v>
      </c>
      <c r="B361" s="27">
        <v>130.2752990722656</v>
      </c>
      <c r="C361" s="27">
        <f t="shared" si="13"/>
        <v>4.8696498964922448</v>
      </c>
      <c r="D361" s="29">
        <f t="shared" si="14"/>
        <v>-4.6958822615872364E-4</v>
      </c>
    </row>
    <row r="362" spans="1:4" x14ac:dyDescent="0.3">
      <c r="A362" s="26">
        <v>42675</v>
      </c>
      <c r="B362" s="27">
        <v>128.79344177246091</v>
      </c>
      <c r="C362" s="27">
        <f t="shared" si="13"/>
        <v>4.8582098944582164</v>
      </c>
      <c r="D362" s="29">
        <f t="shared" si="14"/>
        <v>-2.3492452798853369E-3</v>
      </c>
    </row>
    <row r="363" spans="1:4" x14ac:dyDescent="0.3">
      <c r="A363" s="26">
        <v>42676</v>
      </c>
      <c r="B363" s="27">
        <v>126.4761505126953</v>
      </c>
      <c r="C363" s="27">
        <f t="shared" si="13"/>
        <v>4.8400537568964213</v>
      </c>
      <c r="D363" s="29">
        <f t="shared" si="14"/>
        <v>-3.7372073163215447E-3</v>
      </c>
    </row>
    <row r="364" spans="1:4" x14ac:dyDescent="0.3">
      <c r="A364" s="26">
        <v>42677</v>
      </c>
      <c r="B364" s="27">
        <v>119.3452606201172</v>
      </c>
      <c r="C364" s="27">
        <f t="shared" si="13"/>
        <v>4.7820206420685798</v>
      </c>
      <c r="D364" s="29">
        <f t="shared" si="14"/>
        <v>-1.1990179808468504E-2</v>
      </c>
    </row>
    <row r="365" spans="1:4" x14ac:dyDescent="0.3">
      <c r="A365" s="26">
        <v>42678</v>
      </c>
      <c r="B365" s="27">
        <v>120.09117126464839</v>
      </c>
      <c r="C365" s="27">
        <f t="shared" si="13"/>
        <v>4.7882512148488487</v>
      </c>
      <c r="D365" s="29">
        <f t="shared" si="14"/>
        <v>1.302916329021464E-3</v>
      </c>
    </row>
    <row r="366" spans="1:4" x14ac:dyDescent="0.3">
      <c r="A366" s="26">
        <v>42681</v>
      </c>
      <c r="B366" s="27">
        <v>121.48354339599609</v>
      </c>
      <c r="C366" s="27">
        <f t="shared" si="13"/>
        <v>4.7997788083066162</v>
      </c>
      <c r="D366" s="29">
        <f t="shared" si="14"/>
        <v>2.4074746583928608E-3</v>
      </c>
    </row>
    <row r="367" spans="1:4" x14ac:dyDescent="0.3">
      <c r="A367" s="26">
        <v>42682</v>
      </c>
      <c r="B367" s="27">
        <v>123.5422439575195</v>
      </c>
      <c r="C367" s="27">
        <f t="shared" si="13"/>
        <v>4.8165831539162909</v>
      </c>
      <c r="D367" s="29">
        <f t="shared" si="14"/>
        <v>3.5010666701125182E-3</v>
      </c>
    </row>
    <row r="368" spans="1:4" x14ac:dyDescent="0.3">
      <c r="A368" s="26">
        <v>42683</v>
      </c>
      <c r="B368" s="27">
        <v>122.50791931152339</v>
      </c>
      <c r="C368" s="27">
        <f t="shared" si="13"/>
        <v>4.8081756753362335</v>
      </c>
      <c r="D368" s="29">
        <f t="shared" si="14"/>
        <v>-1.7455275475150023E-3</v>
      </c>
    </row>
    <row r="369" spans="1:4" x14ac:dyDescent="0.3">
      <c r="A369" s="26">
        <v>42684</v>
      </c>
      <c r="B369" s="27">
        <v>120.1409149169922</v>
      </c>
      <c r="C369" s="27">
        <f t="shared" si="13"/>
        <v>4.7886653448166259</v>
      </c>
      <c r="D369" s="29">
        <f t="shared" si="14"/>
        <v>-4.0577407809133659E-3</v>
      </c>
    </row>
    <row r="370" spans="1:4" x14ac:dyDescent="0.3">
      <c r="A370" s="26">
        <v>42685</v>
      </c>
      <c r="B370" s="27">
        <v>118.37060546875</v>
      </c>
      <c r="C370" s="27">
        <f t="shared" si="13"/>
        <v>4.7738204270050986</v>
      </c>
      <c r="D370" s="29">
        <f t="shared" si="14"/>
        <v>-3.1000115361153879E-3</v>
      </c>
    </row>
    <row r="371" spans="1:4" x14ac:dyDescent="0.3">
      <c r="A371" s="26">
        <v>42688</v>
      </c>
      <c r="B371" s="27">
        <v>114.4521102905273</v>
      </c>
      <c r="C371" s="27">
        <f t="shared" si="13"/>
        <v>4.740156484765305</v>
      </c>
      <c r="D371" s="29">
        <f t="shared" si="14"/>
        <v>-7.0517822684237341E-3</v>
      </c>
    </row>
    <row r="372" spans="1:4" x14ac:dyDescent="0.3">
      <c r="A372" s="26">
        <v>42689</v>
      </c>
      <c r="B372" s="27">
        <v>116.56053161621089</v>
      </c>
      <c r="C372" s="27">
        <f t="shared" si="13"/>
        <v>4.7584107227568753</v>
      </c>
      <c r="D372" s="29">
        <f t="shared" si="14"/>
        <v>3.8509779266229227E-3</v>
      </c>
    </row>
    <row r="373" spans="1:4" x14ac:dyDescent="0.3">
      <c r="A373" s="26">
        <v>42690</v>
      </c>
      <c r="B373" s="27">
        <v>115.70522308349609</v>
      </c>
      <c r="C373" s="27">
        <f t="shared" si="13"/>
        <v>4.7510457765125604</v>
      </c>
      <c r="D373" s="29">
        <f t="shared" si="14"/>
        <v>-1.5477743880099037E-3</v>
      </c>
    </row>
    <row r="374" spans="1:4" x14ac:dyDescent="0.3">
      <c r="A374" s="26">
        <v>42691</v>
      </c>
      <c r="B374" s="27">
        <v>117.14732360839839</v>
      </c>
      <c r="C374" s="27">
        <f t="shared" si="13"/>
        <v>4.7634323188404943</v>
      </c>
      <c r="D374" s="29">
        <f t="shared" si="14"/>
        <v>2.6071191292595941E-3</v>
      </c>
    </row>
    <row r="375" spans="1:4" x14ac:dyDescent="0.3">
      <c r="A375" s="26">
        <v>42692</v>
      </c>
      <c r="B375" s="27">
        <v>116.3815155029297</v>
      </c>
      <c r="C375" s="27">
        <f t="shared" si="13"/>
        <v>4.7568737211658183</v>
      </c>
      <c r="D375" s="29">
        <f t="shared" si="14"/>
        <v>-1.3768638317238624E-3</v>
      </c>
    </row>
    <row r="376" spans="1:4" x14ac:dyDescent="0.3">
      <c r="A376" s="26">
        <v>42695</v>
      </c>
      <c r="B376" s="27">
        <v>121.10560607910161</v>
      </c>
      <c r="C376" s="27">
        <f t="shared" si="13"/>
        <v>4.7966629424611487</v>
      </c>
      <c r="D376" s="29">
        <f t="shared" si="14"/>
        <v>8.3645737994446634E-3</v>
      </c>
    </row>
    <row r="377" spans="1:4" x14ac:dyDescent="0.3">
      <c r="A377" s="26">
        <v>42696</v>
      </c>
      <c r="B377" s="27">
        <v>120.8072509765625</v>
      </c>
      <c r="C377" s="27">
        <f t="shared" si="13"/>
        <v>4.7941963083397257</v>
      </c>
      <c r="D377" s="29">
        <f t="shared" si="14"/>
        <v>-5.1423961846219779E-4</v>
      </c>
    </row>
    <row r="378" spans="1:4" x14ac:dyDescent="0.3">
      <c r="A378" s="26">
        <v>42697</v>
      </c>
      <c r="B378" s="27">
        <v>120.18068695068359</v>
      </c>
      <c r="C378" s="27">
        <f t="shared" si="13"/>
        <v>4.7889963349044526</v>
      </c>
      <c r="D378" s="29">
        <f t="shared" si="14"/>
        <v>-1.0846392389538551E-3</v>
      </c>
    </row>
    <row r="379" spans="1:4" x14ac:dyDescent="0.3">
      <c r="A379" s="26">
        <v>42699</v>
      </c>
      <c r="B379" s="27">
        <v>119.7231979370117</v>
      </c>
      <c r="C379" s="27">
        <f t="shared" si="13"/>
        <v>4.7851823944303815</v>
      </c>
      <c r="D379" s="29">
        <f t="shared" si="14"/>
        <v>-7.9639661577379783E-4</v>
      </c>
    </row>
    <row r="380" spans="1:4" x14ac:dyDescent="0.3">
      <c r="A380" s="26">
        <v>42702</v>
      </c>
      <c r="B380" s="27">
        <v>119.75302886962891</v>
      </c>
      <c r="C380" s="27">
        <f t="shared" si="13"/>
        <v>4.7854315292457184</v>
      </c>
      <c r="D380" s="29">
        <f t="shared" si="14"/>
        <v>5.2063807562952036E-5</v>
      </c>
    </row>
    <row r="381" spans="1:4" x14ac:dyDescent="0.3">
      <c r="A381" s="26">
        <v>42703</v>
      </c>
      <c r="B381" s="27">
        <v>120.2105255126953</v>
      </c>
      <c r="C381" s="27">
        <f t="shared" si="13"/>
        <v>4.7892445849287295</v>
      </c>
      <c r="D381" s="29">
        <f t="shared" si="14"/>
        <v>7.9680498189316218E-4</v>
      </c>
    </row>
    <row r="382" spans="1:4" x14ac:dyDescent="0.3">
      <c r="A382" s="26">
        <v>42704</v>
      </c>
      <c r="B382" s="27">
        <v>117.7738800048828</v>
      </c>
      <c r="C382" s="27">
        <f t="shared" si="13"/>
        <v>4.7687665149241001</v>
      </c>
      <c r="D382" s="29">
        <f t="shared" si="14"/>
        <v>-4.2758455204129353E-3</v>
      </c>
    </row>
    <row r="383" spans="1:4" x14ac:dyDescent="0.3">
      <c r="A383" s="26">
        <v>42705</v>
      </c>
      <c r="B383" s="27">
        <v>114.4720001220703</v>
      </c>
      <c r="C383" s="27">
        <f t="shared" si="13"/>
        <v>4.7403302526708107</v>
      </c>
      <c r="D383" s="29">
        <f t="shared" si="14"/>
        <v>-5.9630225477168564E-3</v>
      </c>
    </row>
    <row r="384" spans="1:4" x14ac:dyDescent="0.3">
      <c r="A384" s="26">
        <v>42706</v>
      </c>
      <c r="B384" s="27">
        <v>114.77036285400391</v>
      </c>
      <c r="C384" s="27">
        <f t="shared" si="13"/>
        <v>4.7429332872629377</v>
      </c>
      <c r="D384" s="29">
        <f t="shared" si="14"/>
        <v>5.4912515655636263E-4</v>
      </c>
    </row>
    <row r="385" spans="1:4" x14ac:dyDescent="0.3">
      <c r="A385" s="26">
        <v>42709</v>
      </c>
      <c r="B385" s="27">
        <v>116.78928375244141</v>
      </c>
      <c r="C385" s="27">
        <f t="shared" si="13"/>
        <v>4.7603713174901063</v>
      </c>
      <c r="D385" s="29">
        <f t="shared" si="14"/>
        <v>3.6766340935046049E-3</v>
      </c>
    </row>
    <row r="386" spans="1:4" x14ac:dyDescent="0.3">
      <c r="A386" s="26">
        <v>42710</v>
      </c>
      <c r="B386" s="27">
        <v>116.66993713378911</v>
      </c>
      <c r="C386" s="27">
        <f t="shared" si="13"/>
        <v>4.7593488979977794</v>
      </c>
      <c r="D386" s="29">
        <f t="shared" si="14"/>
        <v>-2.1477725667540248E-4</v>
      </c>
    </row>
    <row r="387" spans="1:4" x14ac:dyDescent="0.3">
      <c r="A387" s="26">
        <v>42711</v>
      </c>
      <c r="B387" s="27">
        <v>117.3064422607422</v>
      </c>
      <c r="C387" s="27">
        <f t="shared" ref="C387:C450" si="15">LN(B387)</f>
        <v>4.7647896753852628</v>
      </c>
      <c r="D387" s="29">
        <f t="shared" si="14"/>
        <v>1.1431768302954115E-3</v>
      </c>
    </row>
    <row r="388" spans="1:4" x14ac:dyDescent="0.3">
      <c r="A388" s="26">
        <v>42712</v>
      </c>
      <c r="B388" s="27">
        <v>118.26121520996089</v>
      </c>
      <c r="C388" s="27">
        <f t="shared" si="15"/>
        <v>4.7728958660879091</v>
      </c>
      <c r="D388" s="29">
        <f t="shared" ref="D388:D451" si="16">C388/C387-1</f>
        <v>1.7012693644218313E-3</v>
      </c>
    </row>
    <row r="389" spans="1:4" x14ac:dyDescent="0.3">
      <c r="A389" s="26">
        <v>42713</v>
      </c>
      <c r="B389" s="27">
        <v>119.0270080566406</v>
      </c>
      <c r="C389" s="27">
        <f t="shared" si="15"/>
        <v>4.7793504258195192</v>
      </c>
      <c r="D389" s="29">
        <f t="shared" si="16"/>
        <v>1.3523361734057993E-3</v>
      </c>
    </row>
    <row r="390" spans="1:4" x14ac:dyDescent="0.3">
      <c r="A390" s="26">
        <v>42716</v>
      </c>
      <c r="B390" s="27">
        <v>117.12741851806641</v>
      </c>
      <c r="C390" s="27">
        <f t="shared" si="15"/>
        <v>4.7632623893790491</v>
      </c>
      <c r="D390" s="29">
        <f t="shared" si="16"/>
        <v>-3.366155441031804E-3</v>
      </c>
    </row>
    <row r="391" spans="1:4" x14ac:dyDescent="0.3">
      <c r="A391" s="26">
        <v>42717</v>
      </c>
      <c r="B391" s="27">
        <v>119.6535720825195</v>
      </c>
      <c r="C391" s="27">
        <f t="shared" si="15"/>
        <v>4.7846006683384967</v>
      </c>
      <c r="D391" s="29">
        <f t="shared" si="16"/>
        <v>4.4797613935831926E-3</v>
      </c>
    </row>
    <row r="392" spans="1:4" x14ac:dyDescent="0.3">
      <c r="A392" s="26">
        <v>42718</v>
      </c>
      <c r="B392" s="27">
        <v>119.5541152954102</v>
      </c>
      <c r="C392" s="27">
        <f t="shared" si="15"/>
        <v>4.7837691165273446</v>
      </c>
      <c r="D392" s="29">
        <f t="shared" si="16"/>
        <v>-1.7379753688850919E-4</v>
      </c>
    </row>
    <row r="393" spans="1:4" x14ac:dyDescent="0.3">
      <c r="A393" s="26">
        <v>42719</v>
      </c>
      <c r="B393" s="27">
        <v>119.9121475219727</v>
      </c>
      <c r="C393" s="27">
        <f t="shared" si="15"/>
        <v>4.7867593706794951</v>
      </c>
      <c r="D393" s="29">
        <f t="shared" si="16"/>
        <v>6.2508329296662168E-4</v>
      </c>
    </row>
    <row r="394" spans="1:4" x14ac:dyDescent="0.3">
      <c r="A394" s="26">
        <v>42720</v>
      </c>
      <c r="B394" s="27">
        <v>119.2159729003906</v>
      </c>
      <c r="C394" s="27">
        <f t="shared" si="15"/>
        <v>4.7809367464961419</v>
      </c>
      <c r="D394" s="29">
        <f t="shared" si="16"/>
        <v>-1.2164021068238329E-3</v>
      </c>
    </row>
    <row r="395" spans="1:4" x14ac:dyDescent="0.3">
      <c r="A395" s="26">
        <v>42723</v>
      </c>
      <c r="B395" s="27">
        <v>118.5894012451172</v>
      </c>
      <c r="C395" s="27">
        <f t="shared" si="15"/>
        <v>4.7756671170147813</v>
      </c>
      <c r="D395" s="29">
        <f t="shared" si="16"/>
        <v>-1.1022169421551764E-3</v>
      </c>
    </row>
    <row r="396" spans="1:4" x14ac:dyDescent="0.3">
      <c r="A396" s="26">
        <v>42724</v>
      </c>
      <c r="B396" s="27">
        <v>118.4402313232422</v>
      </c>
      <c r="C396" s="27">
        <f t="shared" si="15"/>
        <v>4.7744084563152569</v>
      </c>
      <c r="D396" s="29">
        <f t="shared" si="16"/>
        <v>-2.6355704212299713E-4</v>
      </c>
    </row>
    <row r="397" spans="1:4" x14ac:dyDescent="0.3">
      <c r="A397" s="26">
        <v>42725</v>
      </c>
      <c r="B397" s="27">
        <v>118.3905029296875</v>
      </c>
      <c r="C397" s="27">
        <f t="shared" si="15"/>
        <v>4.7739885074902668</v>
      </c>
      <c r="D397" s="29">
        <f t="shared" si="16"/>
        <v>-8.7958294484491439E-5</v>
      </c>
    </row>
    <row r="398" spans="1:4" x14ac:dyDescent="0.3">
      <c r="A398" s="26">
        <v>42726</v>
      </c>
      <c r="B398" s="27">
        <v>116.7594375610352</v>
      </c>
      <c r="C398" s="27">
        <f t="shared" si="15"/>
        <v>4.7601157289225409</v>
      </c>
      <c r="D398" s="29">
        <f t="shared" si="16"/>
        <v>-2.9059095022871961E-3</v>
      </c>
    </row>
    <row r="399" spans="1:4" x14ac:dyDescent="0.3">
      <c r="A399" s="26">
        <v>42727</v>
      </c>
      <c r="B399" s="27">
        <v>116.63014984130859</v>
      </c>
      <c r="C399" s="27">
        <f t="shared" si="15"/>
        <v>4.759007815459988</v>
      </c>
      <c r="D399" s="29">
        <f t="shared" si="16"/>
        <v>-2.32749270321575E-4</v>
      </c>
    </row>
    <row r="400" spans="1:4" x14ac:dyDescent="0.3">
      <c r="A400" s="26">
        <v>42731</v>
      </c>
      <c r="B400" s="27">
        <v>117.3661193847656</v>
      </c>
      <c r="C400" s="27">
        <f t="shared" si="15"/>
        <v>4.76529827447236</v>
      </c>
      <c r="D400" s="29">
        <f t="shared" si="16"/>
        <v>1.3218005215156481E-3</v>
      </c>
    </row>
    <row r="401" spans="1:4" x14ac:dyDescent="0.3">
      <c r="A401" s="26">
        <v>42732</v>
      </c>
      <c r="B401" s="27">
        <v>116.2820663452148</v>
      </c>
      <c r="C401" s="27">
        <f t="shared" si="15"/>
        <v>4.756018845959467</v>
      </c>
      <c r="D401" s="29">
        <f t="shared" si="16"/>
        <v>-1.9472922739386389E-3</v>
      </c>
    </row>
    <row r="402" spans="1:4" x14ac:dyDescent="0.3">
      <c r="A402" s="26">
        <v>42733</v>
      </c>
      <c r="B402" s="27">
        <v>115.7151794433594</v>
      </c>
      <c r="C402" s="27">
        <f t="shared" si="15"/>
        <v>4.7511318221659318</v>
      </c>
      <c r="D402" s="29">
        <f t="shared" si="16"/>
        <v>-1.0275450858835411E-3</v>
      </c>
    </row>
    <row r="403" spans="1:4" x14ac:dyDescent="0.3">
      <c r="A403" s="26">
        <v>42734</v>
      </c>
      <c r="B403" s="27">
        <v>114.4222717285156</v>
      </c>
      <c r="C403" s="27">
        <f t="shared" si="15"/>
        <v>4.7398957429390025</v>
      </c>
      <c r="D403" s="29">
        <f t="shared" si="16"/>
        <v>-2.3649268526940714E-3</v>
      </c>
    </row>
    <row r="404" spans="1:4" x14ac:dyDescent="0.3">
      <c r="A404" s="26">
        <v>42738</v>
      </c>
      <c r="B404" s="27">
        <v>116.22239685058589</v>
      </c>
      <c r="C404" s="27">
        <f t="shared" si="15"/>
        <v>4.7555055698260222</v>
      </c>
      <c r="D404" s="29">
        <f t="shared" si="16"/>
        <v>3.2932848597511111E-3</v>
      </c>
    </row>
    <row r="405" spans="1:4" x14ac:dyDescent="0.3">
      <c r="A405" s="26">
        <v>42739</v>
      </c>
      <c r="B405" s="27">
        <v>118.0424118041992</v>
      </c>
      <c r="C405" s="27">
        <f t="shared" si="15"/>
        <v>4.7710439819585106</v>
      </c>
      <c r="D405" s="29">
        <f t="shared" si="16"/>
        <v>3.2674574562756575E-3</v>
      </c>
    </row>
    <row r="406" spans="1:4" x14ac:dyDescent="0.3">
      <c r="A406" s="26">
        <v>42740</v>
      </c>
      <c r="B406" s="27">
        <v>120.01161193847661</v>
      </c>
      <c r="C406" s="27">
        <f t="shared" si="15"/>
        <v>4.787588504254475</v>
      </c>
      <c r="D406" s="29">
        <f t="shared" si="16"/>
        <v>3.4676943575717711E-3</v>
      </c>
    </row>
    <row r="407" spans="1:4" x14ac:dyDescent="0.3">
      <c r="A407" s="26">
        <v>42741</v>
      </c>
      <c r="B407" s="27">
        <v>122.7366561889648</v>
      </c>
      <c r="C407" s="27">
        <f t="shared" si="15"/>
        <v>4.810041053547363</v>
      </c>
      <c r="D407" s="29">
        <f t="shared" si="16"/>
        <v>4.6897408315136335E-3</v>
      </c>
    </row>
    <row r="408" spans="1:4" x14ac:dyDescent="0.3">
      <c r="A408" s="26">
        <v>42744</v>
      </c>
      <c r="B408" s="27">
        <v>124.21852874755859</v>
      </c>
      <c r="C408" s="27">
        <f t="shared" si="15"/>
        <v>4.82204234313539</v>
      </c>
      <c r="D408" s="29">
        <f t="shared" si="16"/>
        <v>2.4950493050732714E-3</v>
      </c>
    </row>
    <row r="409" spans="1:4" x14ac:dyDescent="0.3">
      <c r="A409" s="26">
        <v>42745</v>
      </c>
      <c r="B409" s="27">
        <v>123.67152404785161</v>
      </c>
      <c r="C409" s="27">
        <f t="shared" si="15"/>
        <v>4.8176290511829372</v>
      </c>
      <c r="D409" s="29">
        <f t="shared" si="16"/>
        <v>-9.1523293210715728E-4</v>
      </c>
    </row>
    <row r="410" spans="1:4" x14ac:dyDescent="0.3">
      <c r="A410" s="26">
        <v>42746</v>
      </c>
      <c r="B410" s="27">
        <v>125.4020309448242</v>
      </c>
      <c r="C410" s="27">
        <f t="shared" si="15"/>
        <v>4.8315248237999215</v>
      </c>
      <c r="D410" s="29">
        <f t="shared" si="16"/>
        <v>2.8843591877569796E-3</v>
      </c>
    </row>
    <row r="411" spans="1:4" x14ac:dyDescent="0.3">
      <c r="A411" s="26">
        <v>42747</v>
      </c>
      <c r="B411" s="27">
        <v>125.9291458129883</v>
      </c>
      <c r="C411" s="27">
        <f t="shared" si="15"/>
        <v>4.8357194139644024</v>
      </c>
      <c r="D411" s="29">
        <f t="shared" si="16"/>
        <v>8.6817108831116485E-4</v>
      </c>
    </row>
    <row r="412" spans="1:4" x14ac:dyDescent="0.3">
      <c r="A412" s="26">
        <v>42748</v>
      </c>
      <c r="B412" s="27">
        <v>127.6397399902344</v>
      </c>
      <c r="C412" s="27">
        <f t="shared" si="15"/>
        <v>4.8492117643524555</v>
      </c>
      <c r="D412" s="29">
        <f t="shared" si="16"/>
        <v>2.7901433546972942E-3</v>
      </c>
    </row>
    <row r="413" spans="1:4" x14ac:dyDescent="0.3">
      <c r="A413" s="26">
        <v>42752</v>
      </c>
      <c r="B413" s="27">
        <v>127.1723327636719</v>
      </c>
      <c r="C413" s="27">
        <f t="shared" si="15"/>
        <v>4.8455431175277912</v>
      </c>
      <c r="D413" s="29">
        <f t="shared" si="16"/>
        <v>-7.5654498152322169E-4</v>
      </c>
    </row>
    <row r="414" spans="1:4" x14ac:dyDescent="0.3">
      <c r="A414" s="26">
        <v>42753</v>
      </c>
      <c r="B414" s="27">
        <v>127.222053527832</v>
      </c>
      <c r="C414" s="27">
        <f t="shared" si="15"/>
        <v>4.8459340126691348</v>
      </c>
      <c r="D414" s="29">
        <f t="shared" si="16"/>
        <v>8.0671068621640529E-5</v>
      </c>
    </row>
    <row r="415" spans="1:4" x14ac:dyDescent="0.3">
      <c r="A415" s="26">
        <v>42754</v>
      </c>
      <c r="B415" s="27">
        <v>126.8540725708008</v>
      </c>
      <c r="C415" s="27">
        <f t="shared" si="15"/>
        <v>4.8430373909363151</v>
      </c>
      <c r="D415" s="29">
        <f t="shared" si="16"/>
        <v>-5.9774271074408691E-4</v>
      </c>
    </row>
    <row r="416" spans="1:4" x14ac:dyDescent="0.3">
      <c r="A416" s="26">
        <v>42755</v>
      </c>
      <c r="B416" s="27">
        <v>126.34686279296881</v>
      </c>
      <c r="C416" s="27">
        <f t="shared" si="15"/>
        <v>4.8390310040282714</v>
      </c>
      <c r="D416" s="29">
        <f t="shared" si="16"/>
        <v>-8.2724674303391588E-4</v>
      </c>
    </row>
    <row r="417" spans="1:4" x14ac:dyDescent="0.3">
      <c r="A417" s="26">
        <v>42758</v>
      </c>
      <c r="B417" s="27">
        <v>128.2265319824219</v>
      </c>
      <c r="C417" s="27">
        <f t="shared" si="15"/>
        <v>4.8537984808149712</v>
      </c>
      <c r="D417" s="29">
        <f t="shared" si="16"/>
        <v>3.051742543994207E-3</v>
      </c>
    </row>
    <row r="418" spans="1:4" x14ac:dyDescent="0.3">
      <c r="A418" s="26">
        <v>42759</v>
      </c>
      <c r="B418" s="27">
        <v>128.66412353515619</v>
      </c>
      <c r="C418" s="27">
        <f t="shared" si="15"/>
        <v>4.857205315330579</v>
      </c>
      <c r="D418" s="29">
        <f t="shared" si="16"/>
        <v>7.0189039142709575E-4</v>
      </c>
    </row>
    <row r="419" spans="1:4" x14ac:dyDescent="0.3">
      <c r="A419" s="26">
        <v>42760</v>
      </c>
      <c r="B419" s="27">
        <v>130.76261901855469</v>
      </c>
      <c r="C419" s="27">
        <f t="shared" si="15"/>
        <v>4.8733836108582018</v>
      </c>
      <c r="D419" s="29">
        <f t="shared" si="16"/>
        <v>3.3307827191408901E-3</v>
      </c>
    </row>
    <row r="420" spans="1:4" x14ac:dyDescent="0.3">
      <c r="A420" s="26">
        <v>42761</v>
      </c>
      <c r="B420" s="27">
        <v>132.05552673339841</v>
      </c>
      <c r="C420" s="27">
        <f t="shared" si="15"/>
        <v>4.8832224912061895</v>
      </c>
      <c r="D420" s="29">
        <f t="shared" si="16"/>
        <v>2.0189012672973128E-3</v>
      </c>
    </row>
    <row r="421" spans="1:4" x14ac:dyDescent="0.3">
      <c r="A421" s="26">
        <v>42762</v>
      </c>
      <c r="B421" s="27">
        <v>131.45880126953119</v>
      </c>
      <c r="C421" s="27">
        <f t="shared" si="15"/>
        <v>4.8786935041990827</v>
      </c>
      <c r="D421" s="29">
        <f t="shared" si="16"/>
        <v>-9.2745866387666798E-4</v>
      </c>
    </row>
    <row r="422" spans="1:4" x14ac:dyDescent="0.3">
      <c r="A422" s="26">
        <v>42765</v>
      </c>
      <c r="B422" s="27">
        <v>130.2653503417969</v>
      </c>
      <c r="C422" s="27">
        <f t="shared" si="15"/>
        <v>4.8695735266014362</v>
      </c>
      <c r="D422" s="29">
        <f t="shared" si="16"/>
        <v>-1.8693483388118048E-3</v>
      </c>
    </row>
    <row r="423" spans="1:4" x14ac:dyDescent="0.3">
      <c r="A423" s="26">
        <v>42766</v>
      </c>
      <c r="B423" s="27">
        <v>129.6089782714844</v>
      </c>
      <c r="C423" s="27">
        <f t="shared" si="15"/>
        <v>4.8645220583047939</v>
      </c>
      <c r="D423" s="29">
        <f t="shared" si="16"/>
        <v>-1.037353326538204E-3</v>
      </c>
    </row>
    <row r="424" spans="1:4" x14ac:dyDescent="0.3">
      <c r="A424" s="26">
        <v>42767</v>
      </c>
      <c r="B424" s="27">
        <v>132.50306701660159</v>
      </c>
      <c r="C424" s="27">
        <f t="shared" si="15"/>
        <v>4.8866057924534889</v>
      </c>
      <c r="D424" s="29">
        <f t="shared" si="16"/>
        <v>4.5397541390512774E-3</v>
      </c>
    </row>
    <row r="425" spans="1:4" x14ac:dyDescent="0.3">
      <c r="A425" s="26">
        <v>42768</v>
      </c>
      <c r="B425" s="27">
        <v>130.12611389160159</v>
      </c>
      <c r="C425" s="27">
        <f t="shared" si="15"/>
        <v>4.8685040870645011</v>
      </c>
      <c r="D425" s="29">
        <f t="shared" si="16"/>
        <v>-3.7043514778586362E-3</v>
      </c>
    </row>
    <row r="426" spans="1:4" x14ac:dyDescent="0.3">
      <c r="A426" s="26">
        <v>42769</v>
      </c>
      <c r="B426" s="27">
        <v>130.2653503417969</v>
      </c>
      <c r="C426" s="27">
        <f t="shared" si="15"/>
        <v>4.8695735266014362</v>
      </c>
      <c r="D426" s="29">
        <f t="shared" si="16"/>
        <v>2.1966491509717301E-4</v>
      </c>
    </row>
    <row r="427" spans="1:4" x14ac:dyDescent="0.3">
      <c r="A427" s="26">
        <v>42772</v>
      </c>
      <c r="B427" s="27">
        <v>131.33946228027341</v>
      </c>
      <c r="C427" s="27">
        <f t="shared" si="15"/>
        <v>4.8777852866496296</v>
      </c>
      <c r="D427" s="29">
        <f t="shared" si="16"/>
        <v>1.6863407038285594E-3</v>
      </c>
    </row>
    <row r="428" spans="1:4" x14ac:dyDescent="0.3">
      <c r="A428" s="26">
        <v>42773</v>
      </c>
      <c r="B428" s="27">
        <v>131.12066650390619</v>
      </c>
      <c r="C428" s="27">
        <f t="shared" si="15"/>
        <v>4.876118017582403</v>
      </c>
      <c r="D428" s="29">
        <f t="shared" si="16"/>
        <v>-3.4180862199695294E-4</v>
      </c>
    </row>
    <row r="429" spans="1:4" x14ac:dyDescent="0.3">
      <c r="A429" s="26">
        <v>42774</v>
      </c>
      <c r="B429" s="27">
        <v>133.46775817871091</v>
      </c>
      <c r="C429" s="27">
        <f t="shared" si="15"/>
        <v>4.8938599369016842</v>
      </c>
      <c r="D429" s="29">
        <f t="shared" si="16"/>
        <v>3.6385336153281767E-3</v>
      </c>
    </row>
    <row r="430" spans="1:4" x14ac:dyDescent="0.3">
      <c r="A430" s="26">
        <v>42775</v>
      </c>
      <c r="B430" s="27">
        <v>133.40809631347659</v>
      </c>
      <c r="C430" s="27">
        <f t="shared" si="15"/>
        <v>4.8934128236449101</v>
      </c>
      <c r="D430" s="29">
        <f t="shared" si="16"/>
        <v>-9.1362086888202576E-5</v>
      </c>
    </row>
    <row r="431" spans="1:4" x14ac:dyDescent="0.3">
      <c r="A431" s="26">
        <v>42776</v>
      </c>
      <c r="B431" s="27">
        <v>133.4578552246094</v>
      </c>
      <c r="C431" s="27">
        <f t="shared" si="15"/>
        <v>4.893785736797919</v>
      </c>
      <c r="D431" s="29">
        <f t="shared" si="16"/>
        <v>7.6207172059250539E-5</v>
      </c>
    </row>
    <row r="432" spans="1:4" x14ac:dyDescent="0.3">
      <c r="A432" s="26">
        <v>42779</v>
      </c>
      <c r="B432" s="27">
        <v>133.31861877441409</v>
      </c>
      <c r="C432" s="27">
        <f t="shared" si="15"/>
        <v>4.8927418931579547</v>
      </c>
      <c r="D432" s="29">
        <f t="shared" si="16"/>
        <v>-2.1329982473794473E-4</v>
      </c>
    </row>
    <row r="433" spans="1:4" x14ac:dyDescent="0.3">
      <c r="A433" s="26">
        <v>42780</v>
      </c>
      <c r="B433" s="27">
        <v>133.11970520019531</v>
      </c>
      <c r="C433" s="27">
        <f t="shared" si="15"/>
        <v>4.8912487625286447</v>
      </c>
      <c r="D433" s="29">
        <f t="shared" si="16"/>
        <v>-3.0517257233575457E-4</v>
      </c>
    </row>
    <row r="434" spans="1:4" x14ac:dyDescent="0.3">
      <c r="A434" s="26">
        <v>42781</v>
      </c>
      <c r="B434" s="27">
        <v>132.7119445800781</v>
      </c>
      <c r="C434" s="27">
        <f t="shared" si="15"/>
        <v>4.8881809491944779</v>
      </c>
      <c r="D434" s="29">
        <f t="shared" si="16"/>
        <v>-6.2720452038123042E-4</v>
      </c>
    </row>
    <row r="435" spans="1:4" x14ac:dyDescent="0.3">
      <c r="A435" s="26">
        <v>42782</v>
      </c>
      <c r="B435" s="27">
        <v>133.1097412109375</v>
      </c>
      <c r="C435" s="27">
        <f t="shared" si="15"/>
        <v>4.8911739098825766</v>
      </c>
      <c r="D435" s="29">
        <f t="shared" si="16"/>
        <v>6.1228516685574164E-4</v>
      </c>
    </row>
    <row r="436" spans="1:4" x14ac:dyDescent="0.3">
      <c r="A436" s="26">
        <v>42783</v>
      </c>
      <c r="B436" s="27">
        <v>132.80145263671881</v>
      </c>
      <c r="C436" s="27">
        <f t="shared" si="15"/>
        <v>4.8888551755120169</v>
      </c>
      <c r="D436" s="29">
        <f t="shared" si="16"/>
        <v>-4.7406500224311809E-4</v>
      </c>
    </row>
    <row r="437" spans="1:4" x14ac:dyDescent="0.3">
      <c r="A437" s="26">
        <v>42787</v>
      </c>
      <c r="B437" s="27">
        <v>132.99040222167969</v>
      </c>
      <c r="C437" s="27">
        <f t="shared" si="15"/>
        <v>4.8902769618710558</v>
      </c>
      <c r="D437" s="29">
        <f t="shared" si="16"/>
        <v>2.9082194256035976E-4</v>
      </c>
    </row>
    <row r="438" spans="1:4" x14ac:dyDescent="0.3">
      <c r="A438" s="26">
        <v>42788</v>
      </c>
      <c r="B438" s="27">
        <v>135.37730407714841</v>
      </c>
      <c r="C438" s="27">
        <f t="shared" si="15"/>
        <v>4.908065725136785</v>
      </c>
      <c r="D438" s="29">
        <f t="shared" si="16"/>
        <v>3.6375778722608221E-3</v>
      </c>
    </row>
    <row r="439" spans="1:4" x14ac:dyDescent="0.3">
      <c r="A439" s="26">
        <v>42789</v>
      </c>
      <c r="B439" s="27">
        <v>134.6214599609375</v>
      </c>
      <c r="C439" s="27">
        <f t="shared" si="15"/>
        <v>4.9024668395760367</v>
      </c>
      <c r="D439" s="29">
        <f t="shared" si="16"/>
        <v>-1.1407519528667809E-3</v>
      </c>
    </row>
    <row r="440" spans="1:4" x14ac:dyDescent="0.3">
      <c r="A440" s="26">
        <v>42790</v>
      </c>
      <c r="B440" s="27">
        <v>134.7010192871094</v>
      </c>
      <c r="C440" s="27">
        <f t="shared" si="15"/>
        <v>4.9030576504783294</v>
      </c>
      <c r="D440" s="29">
        <f t="shared" si="16"/>
        <v>1.2051298287696355E-4</v>
      </c>
    </row>
    <row r="441" spans="1:4" x14ac:dyDescent="0.3">
      <c r="A441" s="26">
        <v>42793</v>
      </c>
      <c r="B441" s="27">
        <v>135.6657409667969</v>
      </c>
      <c r="C441" s="27">
        <f t="shared" si="15"/>
        <v>4.9101940734106426</v>
      </c>
      <c r="D441" s="29">
        <f t="shared" si="16"/>
        <v>1.4555045934687705E-3</v>
      </c>
    </row>
    <row r="442" spans="1:4" x14ac:dyDescent="0.3">
      <c r="A442" s="26">
        <v>42794</v>
      </c>
      <c r="B442" s="27">
        <v>134.80047607421881</v>
      </c>
      <c r="C442" s="27">
        <f t="shared" si="15"/>
        <v>4.9037957301798247</v>
      </c>
      <c r="D442" s="29">
        <f t="shared" si="16"/>
        <v>-1.3030733887823276E-3</v>
      </c>
    </row>
    <row r="443" spans="1:4" x14ac:dyDescent="0.3">
      <c r="A443" s="26">
        <v>42795</v>
      </c>
      <c r="B443" s="27">
        <v>136.67021179199219</v>
      </c>
      <c r="C443" s="27">
        <f t="shared" si="15"/>
        <v>4.9175708106352154</v>
      </c>
      <c r="D443" s="29">
        <f t="shared" si="16"/>
        <v>2.8090648985670263E-3</v>
      </c>
    </row>
    <row r="444" spans="1:4" x14ac:dyDescent="0.3">
      <c r="A444" s="26">
        <v>42796</v>
      </c>
      <c r="B444" s="27">
        <v>136.01380920410159</v>
      </c>
      <c r="C444" s="27">
        <f t="shared" si="15"/>
        <v>4.9127564188468442</v>
      </c>
      <c r="D444" s="29">
        <f t="shared" si="16"/>
        <v>-9.7901829455293576E-4</v>
      </c>
    </row>
    <row r="445" spans="1:4" x14ac:dyDescent="0.3">
      <c r="A445" s="26">
        <v>42797</v>
      </c>
      <c r="B445" s="27">
        <v>136.42156982421881</v>
      </c>
      <c r="C445" s="27">
        <f t="shared" si="15"/>
        <v>4.9157498694482902</v>
      </c>
      <c r="D445" s="29">
        <f t="shared" si="16"/>
        <v>6.0932200708396778E-4</v>
      </c>
    </row>
    <row r="446" spans="1:4" x14ac:dyDescent="0.3">
      <c r="A446" s="26">
        <v>42800</v>
      </c>
      <c r="B446" s="27">
        <v>136.67021179199219</v>
      </c>
      <c r="C446" s="27">
        <f t="shared" si="15"/>
        <v>4.9175708106352154</v>
      </c>
      <c r="D446" s="29">
        <f t="shared" si="16"/>
        <v>3.7042999242964392E-4</v>
      </c>
    </row>
    <row r="447" spans="1:4" x14ac:dyDescent="0.3">
      <c r="A447" s="26">
        <v>42801</v>
      </c>
      <c r="B447" s="27">
        <v>136.55088806152341</v>
      </c>
      <c r="C447" s="27">
        <f t="shared" si="15"/>
        <v>4.9166973514615346</v>
      </c>
      <c r="D447" s="29">
        <f t="shared" si="16"/>
        <v>-1.7762005008481463E-4</v>
      </c>
    </row>
    <row r="448" spans="1:4" x14ac:dyDescent="0.3">
      <c r="A448" s="26">
        <v>42802</v>
      </c>
      <c r="B448" s="27">
        <v>136.96858215332031</v>
      </c>
      <c r="C448" s="27">
        <f t="shared" si="15"/>
        <v>4.9197515721805605</v>
      </c>
      <c r="D448" s="29">
        <f t="shared" si="16"/>
        <v>6.2119355752443539E-4</v>
      </c>
    </row>
    <row r="449" spans="1:4" x14ac:dyDescent="0.3">
      <c r="A449" s="26">
        <v>42803</v>
      </c>
      <c r="B449" s="27">
        <v>137.4857482910156</v>
      </c>
      <c r="C449" s="27">
        <f t="shared" si="15"/>
        <v>4.9235202629421044</v>
      </c>
      <c r="D449" s="29">
        <f t="shared" si="16"/>
        <v>7.6603273686726148E-4</v>
      </c>
    </row>
    <row r="450" spans="1:4" x14ac:dyDescent="0.3">
      <c r="A450" s="26">
        <v>42804</v>
      </c>
      <c r="B450" s="27">
        <v>138.03271484375</v>
      </c>
      <c r="C450" s="27">
        <f t="shared" si="15"/>
        <v>4.9274907211471</v>
      </c>
      <c r="D450" s="29">
        <f t="shared" si="16"/>
        <v>8.0642670141517492E-4</v>
      </c>
    </row>
    <row r="451" spans="1:4" x14ac:dyDescent="0.3">
      <c r="A451" s="26">
        <v>42807</v>
      </c>
      <c r="B451" s="27">
        <v>138.83833312988281</v>
      </c>
      <c r="C451" s="27">
        <f t="shared" ref="C451:C514" si="17">LN(B451)</f>
        <v>4.9333101852306696</v>
      </c>
      <c r="D451" s="29">
        <f t="shared" si="16"/>
        <v>1.1810197954498225E-3</v>
      </c>
    </row>
    <row r="452" spans="1:4" x14ac:dyDescent="0.3">
      <c r="A452" s="26">
        <v>42808</v>
      </c>
      <c r="B452" s="27">
        <v>138.5598449707031</v>
      </c>
      <c r="C452" s="27">
        <f t="shared" si="17"/>
        <v>4.9313023259530997</v>
      </c>
      <c r="D452" s="29">
        <f t="shared" ref="D452:D515" si="18">C452/C451-1</f>
        <v>-4.0700041193053593E-4</v>
      </c>
    </row>
    <row r="453" spans="1:4" x14ac:dyDescent="0.3">
      <c r="A453" s="26">
        <v>42809</v>
      </c>
      <c r="B453" s="27">
        <v>138.95765686035159</v>
      </c>
      <c r="C453" s="27">
        <f t="shared" si="17"/>
        <v>4.934169259818546</v>
      </c>
      <c r="D453" s="29">
        <f t="shared" si="18"/>
        <v>5.8137458949891752E-4</v>
      </c>
    </row>
    <row r="454" spans="1:4" x14ac:dyDescent="0.3">
      <c r="A454" s="26">
        <v>42810</v>
      </c>
      <c r="B454" s="27">
        <v>139.2261962890625</v>
      </c>
      <c r="C454" s="27">
        <f t="shared" si="17"/>
        <v>4.9360999219262478</v>
      </c>
      <c r="D454" s="29">
        <f t="shared" si="18"/>
        <v>3.9128412627098541E-4</v>
      </c>
    </row>
    <row r="455" spans="1:4" x14ac:dyDescent="0.3">
      <c r="A455" s="26">
        <v>42811</v>
      </c>
      <c r="B455" s="27">
        <v>139.07701110839841</v>
      </c>
      <c r="C455" s="27">
        <f t="shared" si="17"/>
        <v>4.9350278164600638</v>
      </c>
      <c r="D455" s="29">
        <f t="shared" si="18"/>
        <v>-2.1719687266086307E-4</v>
      </c>
    </row>
    <row r="456" spans="1:4" x14ac:dyDescent="0.3">
      <c r="A456" s="26">
        <v>42814</v>
      </c>
      <c r="B456" s="27">
        <v>139.1764831542969</v>
      </c>
      <c r="C456" s="27">
        <f t="shared" si="17"/>
        <v>4.9357427907708047</v>
      </c>
      <c r="D456" s="29">
        <f t="shared" si="18"/>
        <v>1.4487746317382033E-4</v>
      </c>
    </row>
    <row r="457" spans="1:4" x14ac:dyDescent="0.3">
      <c r="A457" s="26">
        <v>42815</v>
      </c>
      <c r="B457" s="27">
        <v>137.7542724609375</v>
      </c>
      <c r="C457" s="27">
        <f t="shared" si="17"/>
        <v>4.9254714636023991</v>
      </c>
      <c r="D457" s="29">
        <f t="shared" si="18"/>
        <v>-2.0810094050305317E-3</v>
      </c>
    </row>
    <row r="458" spans="1:4" x14ac:dyDescent="0.3">
      <c r="A458" s="26">
        <v>42816</v>
      </c>
      <c r="B458" s="27">
        <v>138.8283996582031</v>
      </c>
      <c r="C458" s="27">
        <f t="shared" si="17"/>
        <v>4.9332386356317368</v>
      </c>
      <c r="D458" s="29">
        <f t="shared" si="18"/>
        <v>1.5769398090588194E-3</v>
      </c>
    </row>
    <row r="459" spans="1:4" x14ac:dyDescent="0.3">
      <c r="A459" s="26">
        <v>42817</v>
      </c>
      <c r="B459" s="27">
        <v>138.7687072753906</v>
      </c>
      <c r="C459" s="27">
        <f t="shared" si="17"/>
        <v>4.932808570748195</v>
      </c>
      <c r="D459" s="29">
        <f t="shared" si="18"/>
        <v>-8.7176987635606551E-5</v>
      </c>
    </row>
    <row r="460" spans="1:4" x14ac:dyDescent="0.3">
      <c r="A460" s="26">
        <v>42818</v>
      </c>
      <c r="B460" s="27">
        <v>139.57427978515619</v>
      </c>
      <c r="C460" s="27">
        <f t="shared" si="17"/>
        <v>4.9385969311269129</v>
      </c>
      <c r="D460" s="29">
        <f t="shared" si="18"/>
        <v>1.1734411128465627E-3</v>
      </c>
    </row>
    <row r="461" spans="1:4" x14ac:dyDescent="0.3">
      <c r="A461" s="26">
        <v>42821</v>
      </c>
      <c r="B461" s="27">
        <v>139.5544128417969</v>
      </c>
      <c r="C461" s="27">
        <f t="shared" si="17"/>
        <v>4.9384545814228691</v>
      </c>
      <c r="D461" s="29">
        <f t="shared" si="18"/>
        <v>-2.882391619096758E-5</v>
      </c>
    </row>
    <row r="462" spans="1:4" x14ac:dyDescent="0.3">
      <c r="A462" s="26">
        <v>42822</v>
      </c>
      <c r="B462" s="27">
        <v>140.98652648925781</v>
      </c>
      <c r="C462" s="27">
        <f t="shared" si="17"/>
        <v>4.948664328998551</v>
      </c>
      <c r="D462" s="29">
        <f t="shared" si="18"/>
        <v>2.0673972813454178E-3</v>
      </c>
    </row>
    <row r="463" spans="1:4" x14ac:dyDescent="0.3">
      <c r="A463" s="26">
        <v>42823</v>
      </c>
      <c r="B463" s="27">
        <v>141.8716735839844</v>
      </c>
      <c r="C463" s="27">
        <f t="shared" si="17"/>
        <v>4.9549229418567284</v>
      </c>
      <c r="D463" s="29">
        <f t="shared" si="18"/>
        <v>1.2647074931921853E-3</v>
      </c>
    </row>
    <row r="464" spans="1:4" x14ac:dyDescent="0.3">
      <c r="A464" s="26">
        <v>42824</v>
      </c>
      <c r="B464" s="27">
        <v>141.63298034667969</v>
      </c>
      <c r="C464" s="27">
        <f t="shared" si="17"/>
        <v>4.9532390661926406</v>
      </c>
      <c r="D464" s="29">
        <f t="shared" si="18"/>
        <v>-3.3983892057398712E-4</v>
      </c>
    </row>
    <row r="465" spans="1:4" x14ac:dyDescent="0.3">
      <c r="A465" s="26">
        <v>42825</v>
      </c>
      <c r="B465" s="27">
        <v>141.27494812011719</v>
      </c>
      <c r="C465" s="27">
        <f t="shared" si="17"/>
        <v>4.9507079782896293</v>
      </c>
      <c r="D465" s="29">
        <f t="shared" si="18"/>
        <v>-5.1099651544916913E-4</v>
      </c>
    </row>
    <row r="466" spans="1:4" x14ac:dyDescent="0.3">
      <c r="A466" s="26">
        <v>42828</v>
      </c>
      <c r="B466" s="27">
        <v>141.50370788574219</v>
      </c>
      <c r="C466" s="27">
        <f t="shared" si="17"/>
        <v>4.952325920879491</v>
      </c>
      <c r="D466" s="29">
        <f t="shared" si="18"/>
        <v>3.2681034651149687E-4</v>
      </c>
    </row>
    <row r="467" spans="1:4" x14ac:dyDescent="0.3">
      <c r="A467" s="26">
        <v>42829</v>
      </c>
      <c r="B467" s="27">
        <v>140.9566955566406</v>
      </c>
      <c r="C467" s="27">
        <f t="shared" si="17"/>
        <v>4.948452719494254</v>
      </c>
      <c r="D467" s="29">
        <f t="shared" si="18"/>
        <v>-7.820974320181806E-4</v>
      </c>
    </row>
    <row r="468" spans="1:4" x14ac:dyDescent="0.3">
      <c r="A468" s="26">
        <v>42830</v>
      </c>
      <c r="B468" s="27">
        <v>141.07606506347659</v>
      </c>
      <c r="C468" s="27">
        <f t="shared" si="17"/>
        <v>4.9492992134526252</v>
      </c>
      <c r="D468" s="29">
        <f t="shared" si="18"/>
        <v>1.7106235147745785E-4</v>
      </c>
    </row>
    <row r="469" spans="1:4" x14ac:dyDescent="0.3">
      <c r="A469" s="26">
        <v>42831</v>
      </c>
      <c r="B469" s="27">
        <v>140.39976501464841</v>
      </c>
      <c r="C469" s="27">
        <f t="shared" si="17"/>
        <v>4.94449381790547</v>
      </c>
      <c r="D469" s="29">
        <f t="shared" si="18"/>
        <v>-9.7092443594715139E-4</v>
      </c>
    </row>
    <row r="470" spans="1:4" x14ac:dyDescent="0.3">
      <c r="A470" s="26">
        <v>42832</v>
      </c>
      <c r="B470" s="27">
        <v>140.01188659667969</v>
      </c>
      <c r="C470" s="27">
        <f t="shared" si="17"/>
        <v>4.9417273232671395</v>
      </c>
      <c r="D470" s="29">
        <f t="shared" si="18"/>
        <v>-5.5951018248057149E-4</v>
      </c>
    </row>
    <row r="471" spans="1:4" x14ac:dyDescent="0.3">
      <c r="A471" s="26">
        <v>42835</v>
      </c>
      <c r="B471" s="27">
        <v>140.27046203613281</v>
      </c>
      <c r="C471" s="27">
        <f t="shared" si="17"/>
        <v>4.9435724306317148</v>
      </c>
      <c r="D471" s="29">
        <f t="shared" si="18"/>
        <v>3.7337296128980846E-4</v>
      </c>
    </row>
    <row r="472" spans="1:4" x14ac:dyDescent="0.3">
      <c r="A472" s="26">
        <v>42836</v>
      </c>
      <c r="B472" s="27">
        <v>139.15657043457031</v>
      </c>
      <c r="C472" s="27">
        <f t="shared" si="17"/>
        <v>4.9355997052155409</v>
      </c>
      <c r="D472" s="29">
        <f t="shared" si="18"/>
        <v>-1.6127457477456142E-3</v>
      </c>
    </row>
    <row r="473" spans="1:4" x14ac:dyDescent="0.3">
      <c r="A473" s="26">
        <v>42837</v>
      </c>
      <c r="B473" s="27">
        <v>138.81843566894531</v>
      </c>
      <c r="C473" s="27">
        <f t="shared" si="17"/>
        <v>4.9331668610750397</v>
      </c>
      <c r="D473" s="29">
        <f t="shared" si="18"/>
        <v>-4.9291763631686969E-4</v>
      </c>
    </row>
    <row r="474" spans="1:4" x14ac:dyDescent="0.3">
      <c r="A474" s="26">
        <v>42838</v>
      </c>
      <c r="B474" s="27">
        <v>138.6294860839844</v>
      </c>
      <c r="C474" s="27">
        <f t="shared" si="17"/>
        <v>4.9318048064380564</v>
      </c>
      <c r="D474" s="29">
        <f t="shared" si="18"/>
        <v>-2.7610147301737609E-4</v>
      </c>
    </row>
    <row r="475" spans="1:4" x14ac:dyDescent="0.3">
      <c r="A475" s="26">
        <v>42842</v>
      </c>
      <c r="B475" s="27">
        <v>140.64839172363281</v>
      </c>
      <c r="C475" s="27">
        <f t="shared" si="17"/>
        <v>4.9462631002713637</v>
      </c>
      <c r="D475" s="29">
        <f t="shared" si="18"/>
        <v>2.9316435667594565E-3</v>
      </c>
    </row>
    <row r="476" spans="1:4" x14ac:dyDescent="0.3">
      <c r="A476" s="26">
        <v>42843</v>
      </c>
      <c r="B476" s="27">
        <v>140.19090270996091</v>
      </c>
      <c r="C476" s="27">
        <f t="shared" si="17"/>
        <v>4.9430050845491049</v>
      </c>
      <c r="D476" s="29">
        <f t="shared" si="18"/>
        <v>-6.5868225288701066E-4</v>
      </c>
    </row>
    <row r="477" spans="1:4" x14ac:dyDescent="0.3">
      <c r="A477" s="26">
        <v>42844</v>
      </c>
      <c r="B477" s="27">
        <v>141.4937744140625</v>
      </c>
      <c r="C477" s="27">
        <f t="shared" si="17"/>
        <v>4.9522557190416299</v>
      </c>
      <c r="D477" s="29">
        <f t="shared" si="18"/>
        <v>1.8714596352411572E-3</v>
      </c>
    </row>
    <row r="478" spans="1:4" x14ac:dyDescent="0.3">
      <c r="A478" s="26">
        <v>42845</v>
      </c>
      <c r="B478" s="27">
        <v>143.0154113769531</v>
      </c>
      <c r="C478" s="27">
        <f t="shared" si="17"/>
        <v>4.9629523963197419</v>
      </c>
      <c r="D478" s="29">
        <f t="shared" si="18"/>
        <v>2.1599606088560375E-3</v>
      </c>
    </row>
    <row r="479" spans="1:4" x14ac:dyDescent="0.3">
      <c r="A479" s="26">
        <v>42846</v>
      </c>
      <c r="B479" s="27">
        <v>142.89605712890619</v>
      </c>
      <c r="C479" s="27">
        <f t="shared" si="17"/>
        <v>4.9621174927350502</v>
      </c>
      <c r="D479" s="29">
        <f t="shared" si="18"/>
        <v>-1.6822719986409052E-4</v>
      </c>
    </row>
    <row r="480" spans="1:4" x14ac:dyDescent="0.3">
      <c r="A480" s="26">
        <v>42849</v>
      </c>
      <c r="B480" s="27">
        <v>144.67628479003909</v>
      </c>
      <c r="C480" s="27">
        <f t="shared" si="17"/>
        <v>4.974498727946056</v>
      </c>
      <c r="D480" s="29">
        <f t="shared" si="18"/>
        <v>2.4951515616333797E-3</v>
      </c>
    </row>
    <row r="481" spans="1:4" x14ac:dyDescent="0.3">
      <c r="A481" s="26">
        <v>42850</v>
      </c>
      <c r="B481" s="27">
        <v>145.69073486328119</v>
      </c>
      <c r="C481" s="27">
        <f t="shared" si="17"/>
        <v>4.9814861206732344</v>
      </c>
      <c r="D481" s="29">
        <f t="shared" si="18"/>
        <v>1.4046425799496554E-3</v>
      </c>
    </row>
    <row r="482" spans="1:4" x14ac:dyDescent="0.3">
      <c r="A482" s="26">
        <v>42851</v>
      </c>
      <c r="B482" s="27">
        <v>145.7603454589844</v>
      </c>
      <c r="C482" s="27">
        <f t="shared" si="17"/>
        <v>4.9819638035622456</v>
      </c>
      <c r="D482" s="29">
        <f t="shared" si="18"/>
        <v>9.5891643063783505E-5</v>
      </c>
    </row>
    <row r="483" spans="1:4" x14ac:dyDescent="0.3">
      <c r="A483" s="26">
        <v>42852</v>
      </c>
      <c r="B483" s="27">
        <v>146.8941345214844</v>
      </c>
      <c r="C483" s="27">
        <f t="shared" si="17"/>
        <v>4.9897121540061198</v>
      </c>
      <c r="D483" s="29">
        <f t="shared" si="18"/>
        <v>1.5552803571823315E-3</v>
      </c>
    </row>
    <row r="484" spans="1:4" x14ac:dyDescent="0.3">
      <c r="A484" s="26">
        <v>42853</v>
      </c>
      <c r="B484" s="27">
        <v>149.4302062988281</v>
      </c>
      <c r="C484" s="27">
        <f t="shared" si="17"/>
        <v>5.0068294363240415</v>
      </c>
      <c r="D484" s="29">
        <f t="shared" si="18"/>
        <v>3.430514985554467E-3</v>
      </c>
    </row>
    <row r="485" spans="1:4" x14ac:dyDescent="0.3">
      <c r="A485" s="26">
        <v>42856</v>
      </c>
      <c r="B485" s="27">
        <v>151.62815856933591</v>
      </c>
      <c r="C485" s="27">
        <f t="shared" si="17"/>
        <v>5.0214311985020545</v>
      </c>
      <c r="D485" s="29">
        <f t="shared" si="18"/>
        <v>2.9163690043201296E-3</v>
      </c>
    </row>
    <row r="486" spans="1:4" x14ac:dyDescent="0.3">
      <c r="A486" s="26">
        <v>42857</v>
      </c>
      <c r="B486" s="27">
        <v>151.9464111328125</v>
      </c>
      <c r="C486" s="27">
        <f t="shared" si="17"/>
        <v>5.023527900346215</v>
      </c>
      <c r="D486" s="29">
        <f t="shared" si="18"/>
        <v>4.175506466734813E-4</v>
      </c>
    </row>
    <row r="487" spans="1:4" x14ac:dyDescent="0.3">
      <c r="A487" s="26">
        <v>42858</v>
      </c>
      <c r="B487" s="27">
        <v>150.9717712402344</v>
      </c>
      <c r="C487" s="27">
        <f t="shared" si="17"/>
        <v>5.0170928739095384</v>
      </c>
      <c r="D487" s="29">
        <f t="shared" si="18"/>
        <v>-1.2809775449307281E-3</v>
      </c>
    </row>
    <row r="488" spans="1:4" x14ac:dyDescent="0.3">
      <c r="A488" s="26">
        <v>42859</v>
      </c>
      <c r="B488" s="27">
        <v>150.0269470214844</v>
      </c>
      <c r="C488" s="27">
        <f t="shared" si="17"/>
        <v>5.0108149247715961</v>
      </c>
      <c r="D488" s="29">
        <f t="shared" si="18"/>
        <v>-1.2513121235186997E-3</v>
      </c>
    </row>
    <row r="489" spans="1:4" x14ac:dyDescent="0.3">
      <c r="A489" s="26">
        <v>42860</v>
      </c>
      <c r="B489" s="27">
        <v>149.42027282714841</v>
      </c>
      <c r="C489" s="27">
        <f t="shared" si="17"/>
        <v>5.0067629584538214</v>
      </c>
      <c r="D489" s="29">
        <f t="shared" si="18"/>
        <v>-8.0864417836379321E-4</v>
      </c>
    </row>
    <row r="490" spans="1:4" x14ac:dyDescent="0.3">
      <c r="A490" s="26">
        <v>42863</v>
      </c>
      <c r="B490" s="27">
        <v>150.23579406738281</v>
      </c>
      <c r="C490" s="27">
        <f t="shared" si="17"/>
        <v>5.012206020308926</v>
      </c>
      <c r="D490" s="29">
        <f t="shared" si="18"/>
        <v>1.087141911904288E-3</v>
      </c>
    </row>
    <row r="491" spans="1:4" x14ac:dyDescent="0.3">
      <c r="A491" s="26">
        <v>42864</v>
      </c>
      <c r="B491" s="27">
        <v>149.6589660644531</v>
      </c>
      <c r="C491" s="27">
        <f t="shared" si="17"/>
        <v>5.0083591460652928</v>
      </c>
      <c r="D491" s="29">
        <f t="shared" si="18"/>
        <v>-7.6750122162694279E-4</v>
      </c>
    </row>
    <row r="492" spans="1:4" x14ac:dyDescent="0.3">
      <c r="A492" s="26">
        <v>42865</v>
      </c>
      <c r="B492" s="27">
        <v>149.46998596191409</v>
      </c>
      <c r="C492" s="27">
        <f t="shared" si="17"/>
        <v>5.0070956098786317</v>
      </c>
      <c r="D492" s="29">
        <f t="shared" si="18"/>
        <v>-2.5228545913158484E-4</v>
      </c>
    </row>
    <row r="493" spans="1:4" x14ac:dyDescent="0.3">
      <c r="A493" s="26">
        <v>42866</v>
      </c>
      <c r="B493" s="27">
        <v>149.2213439941406</v>
      </c>
      <c r="C493" s="27">
        <f t="shared" si="17"/>
        <v>5.0054307337990851</v>
      </c>
      <c r="D493" s="29">
        <f t="shared" si="18"/>
        <v>-3.3250335309398249E-4</v>
      </c>
    </row>
    <row r="494" spans="1:4" x14ac:dyDescent="0.3">
      <c r="A494" s="26">
        <v>42867</v>
      </c>
      <c r="B494" s="27">
        <v>149.50978088378909</v>
      </c>
      <c r="C494" s="27">
        <f t="shared" si="17"/>
        <v>5.0073618146625201</v>
      </c>
      <c r="D494" s="29">
        <f t="shared" si="18"/>
        <v>3.8579714037312307E-4</v>
      </c>
    </row>
    <row r="495" spans="1:4" x14ac:dyDescent="0.3">
      <c r="A495" s="26">
        <v>42870</v>
      </c>
      <c r="B495" s="27">
        <v>149.37054443359381</v>
      </c>
      <c r="C495" s="27">
        <f t="shared" si="17"/>
        <v>5.0064300941812867</v>
      </c>
      <c r="D495" s="29">
        <f t="shared" si="18"/>
        <v>-1.8607013347926582E-4</v>
      </c>
    </row>
    <row r="496" spans="1:4" x14ac:dyDescent="0.3">
      <c r="A496" s="26">
        <v>42871</v>
      </c>
      <c r="B496" s="27">
        <v>148.96278381347659</v>
      </c>
      <c r="C496" s="27">
        <f t="shared" si="17"/>
        <v>5.0036965016830566</v>
      </c>
      <c r="D496" s="29">
        <f t="shared" si="18"/>
        <v>-5.4601631238337944E-4</v>
      </c>
    </row>
    <row r="497" spans="1:4" x14ac:dyDescent="0.3">
      <c r="A497" s="26">
        <v>42872</v>
      </c>
      <c r="B497" s="27">
        <v>144.05967712402341</v>
      </c>
      <c r="C497" s="27">
        <f t="shared" si="17"/>
        <v>4.9702276381982822</v>
      </c>
      <c r="D497" s="29">
        <f t="shared" si="18"/>
        <v>-6.6888276444257988E-3</v>
      </c>
    </row>
    <row r="498" spans="1:4" x14ac:dyDescent="0.3">
      <c r="A498" s="26">
        <v>42873</v>
      </c>
      <c r="B498" s="27">
        <v>146.8543395996094</v>
      </c>
      <c r="C498" s="27">
        <f t="shared" si="17"/>
        <v>4.9894412084481043</v>
      </c>
      <c r="D498" s="29">
        <f t="shared" si="18"/>
        <v>3.8657324469724141E-3</v>
      </c>
    </row>
    <row r="499" spans="1:4" x14ac:dyDescent="0.3">
      <c r="A499" s="26">
        <v>42874</v>
      </c>
      <c r="B499" s="27">
        <v>147.25218200683591</v>
      </c>
      <c r="C499" s="27">
        <f t="shared" si="17"/>
        <v>4.9921466408044921</v>
      </c>
      <c r="D499" s="29">
        <f t="shared" si="18"/>
        <v>5.4223153322396911E-4</v>
      </c>
    </row>
    <row r="500" spans="1:4" x14ac:dyDescent="0.3">
      <c r="A500" s="26">
        <v>42877</v>
      </c>
      <c r="B500" s="27">
        <v>147.43119812011719</v>
      </c>
      <c r="C500" s="27">
        <f t="shared" si="17"/>
        <v>4.9933616135337004</v>
      </c>
      <c r="D500" s="29">
        <f t="shared" si="18"/>
        <v>2.4337681094488417E-4</v>
      </c>
    </row>
    <row r="501" spans="1:4" x14ac:dyDescent="0.3">
      <c r="A501" s="26">
        <v>42878</v>
      </c>
      <c r="B501" s="27">
        <v>147.2621154785156</v>
      </c>
      <c r="C501" s="27">
        <f t="shared" si="17"/>
        <v>4.9922140974391498</v>
      </c>
      <c r="D501" s="29">
        <f t="shared" si="18"/>
        <v>-2.2980833021191138E-4</v>
      </c>
    </row>
    <row r="502" spans="1:4" x14ac:dyDescent="0.3">
      <c r="A502" s="26">
        <v>42879</v>
      </c>
      <c r="B502" s="27">
        <v>149.2213439941406</v>
      </c>
      <c r="C502" s="27">
        <f t="shared" si="17"/>
        <v>5.0054307337990851</v>
      </c>
      <c r="D502" s="29">
        <f t="shared" si="18"/>
        <v>2.6474498292681226E-3</v>
      </c>
    </row>
    <row r="503" spans="1:4" x14ac:dyDescent="0.3">
      <c r="A503" s="26">
        <v>42880</v>
      </c>
      <c r="B503" s="27">
        <v>151.13090515136719</v>
      </c>
      <c r="C503" s="27">
        <f t="shared" si="17"/>
        <v>5.018146382787724</v>
      </c>
      <c r="D503" s="29">
        <f t="shared" si="18"/>
        <v>2.5403705824509348E-3</v>
      </c>
    </row>
    <row r="504" spans="1:4" x14ac:dyDescent="0.3">
      <c r="A504" s="26">
        <v>42881</v>
      </c>
      <c r="B504" s="27">
        <v>151.29997253417969</v>
      </c>
      <c r="C504" s="27">
        <f t="shared" si="17"/>
        <v>5.0192644392621037</v>
      </c>
      <c r="D504" s="29">
        <f t="shared" si="18"/>
        <v>2.2280268232410805E-4</v>
      </c>
    </row>
    <row r="505" spans="1:4" x14ac:dyDescent="0.3">
      <c r="A505" s="26">
        <v>42885</v>
      </c>
      <c r="B505" s="27">
        <v>151.5486145019531</v>
      </c>
      <c r="C505" s="27">
        <f t="shared" si="17"/>
        <v>5.0209064612776153</v>
      </c>
      <c r="D505" s="29">
        <f t="shared" si="18"/>
        <v>3.2714395413546704E-4</v>
      </c>
    </row>
    <row r="506" spans="1:4" x14ac:dyDescent="0.3">
      <c r="A506" s="26">
        <v>42886</v>
      </c>
      <c r="B506" s="27">
        <v>150.63362121582031</v>
      </c>
      <c r="C506" s="27">
        <f t="shared" si="17"/>
        <v>5.0148505388945894</v>
      </c>
      <c r="D506" s="29">
        <f t="shared" si="18"/>
        <v>-1.2061412475476985E-3</v>
      </c>
    </row>
    <row r="507" spans="1:4" x14ac:dyDescent="0.3">
      <c r="A507" s="26">
        <v>42887</v>
      </c>
      <c r="B507" s="27">
        <v>150.7032470703125</v>
      </c>
      <c r="C507" s="27">
        <f t="shared" si="17"/>
        <v>5.0153126519850133</v>
      </c>
      <c r="D507" s="29">
        <f t="shared" si="18"/>
        <v>9.2148925843416052E-5</v>
      </c>
    </row>
    <row r="508" spans="1:4" x14ac:dyDescent="0.3">
      <c r="A508" s="26">
        <v>42888</v>
      </c>
      <c r="B508" s="27">
        <v>152.7718811035156</v>
      </c>
      <c r="C508" s="27">
        <f t="shared" si="17"/>
        <v>5.0289458356062395</v>
      </c>
      <c r="D508" s="29">
        <f t="shared" si="18"/>
        <v>2.7183118116933525E-3</v>
      </c>
    </row>
    <row r="509" spans="1:4" x14ac:dyDescent="0.3">
      <c r="A509" s="26">
        <v>42891</v>
      </c>
      <c r="B509" s="27">
        <v>152.7917785644531</v>
      </c>
      <c r="C509" s="27">
        <f t="shared" si="17"/>
        <v>5.0290760700784096</v>
      </c>
      <c r="D509" s="29">
        <f t="shared" si="18"/>
        <v>2.5896972532191143E-5</v>
      </c>
    </row>
    <row r="510" spans="1:4" x14ac:dyDescent="0.3">
      <c r="A510" s="26">
        <v>42892</v>
      </c>
      <c r="B510" s="27">
        <v>151.97624206542969</v>
      </c>
      <c r="C510" s="27">
        <f t="shared" si="17"/>
        <v>5.0237242064286942</v>
      </c>
      <c r="D510" s="29">
        <f t="shared" si="18"/>
        <v>-1.0641842706571314E-3</v>
      </c>
    </row>
    <row r="511" spans="1:4" x14ac:dyDescent="0.3">
      <c r="A511" s="26">
        <v>42893</v>
      </c>
      <c r="B511" s="27">
        <v>152.28456115722659</v>
      </c>
      <c r="C511" s="27">
        <f t="shared" si="17"/>
        <v>5.0257508835035205</v>
      </c>
      <c r="D511" s="29">
        <f t="shared" si="18"/>
        <v>4.0342124518555345E-4</v>
      </c>
    </row>
    <row r="512" spans="1:4" x14ac:dyDescent="0.3">
      <c r="A512" s="26">
        <v>42894</v>
      </c>
      <c r="B512" s="27">
        <v>153.8658752441406</v>
      </c>
      <c r="C512" s="27">
        <f t="shared" si="17"/>
        <v>5.0360812829519404</v>
      </c>
      <c r="D512" s="29">
        <f t="shared" si="18"/>
        <v>2.0554937337480261E-3</v>
      </c>
    </row>
    <row r="513" spans="1:4" x14ac:dyDescent="0.3">
      <c r="A513" s="26">
        <v>42895</v>
      </c>
      <c r="B513" s="27">
        <v>148.78376770019531</v>
      </c>
      <c r="C513" s="27">
        <f t="shared" si="17"/>
        <v>5.0024940284121371</v>
      </c>
      <c r="D513" s="29">
        <f t="shared" si="18"/>
        <v>-6.6693233593155821E-3</v>
      </c>
    </row>
    <row r="514" spans="1:4" x14ac:dyDescent="0.3">
      <c r="A514" s="26">
        <v>42898</v>
      </c>
      <c r="B514" s="27">
        <v>147.63008117675781</v>
      </c>
      <c r="C514" s="27">
        <f t="shared" si="17"/>
        <v>4.9947096934121182</v>
      </c>
      <c r="D514" s="29">
        <f t="shared" si="18"/>
        <v>-1.5560908130638484E-3</v>
      </c>
    </row>
    <row r="515" spans="1:4" x14ac:dyDescent="0.3">
      <c r="A515" s="26">
        <v>42899</v>
      </c>
      <c r="B515" s="27">
        <v>149.85786437988281</v>
      </c>
      <c r="C515" s="27">
        <f t="shared" ref="C515:C578" si="19">LN(B515)</f>
        <v>5.0096872740664562</v>
      </c>
      <c r="D515" s="29">
        <f t="shared" si="18"/>
        <v>2.998688927625448E-3</v>
      </c>
    </row>
    <row r="516" spans="1:4" x14ac:dyDescent="0.3">
      <c r="A516" s="26">
        <v>42900</v>
      </c>
      <c r="B516" s="27">
        <v>149.4302062988281</v>
      </c>
      <c r="C516" s="27">
        <f t="shared" si="19"/>
        <v>5.0068294363240415</v>
      </c>
      <c r="D516" s="29">
        <f t="shared" ref="D516:D579" si="20">C516/C515-1</f>
        <v>-5.7046230354707017E-4</v>
      </c>
    </row>
    <row r="517" spans="1:4" x14ac:dyDescent="0.3">
      <c r="A517" s="26">
        <v>42901</v>
      </c>
      <c r="B517" s="27">
        <v>148.982666015625</v>
      </c>
      <c r="C517" s="27">
        <f t="shared" si="19"/>
        <v>5.0038299637123602</v>
      </c>
      <c r="D517" s="29">
        <f t="shared" si="20"/>
        <v>-5.9907625171340406E-4</v>
      </c>
    </row>
    <row r="518" spans="1:4" x14ac:dyDescent="0.3">
      <c r="A518" s="26">
        <v>42902</v>
      </c>
      <c r="B518" s="27">
        <v>149.8180847167969</v>
      </c>
      <c r="C518" s="27">
        <f t="shared" si="19"/>
        <v>5.0094217895426603</v>
      </c>
      <c r="D518" s="29">
        <f t="shared" si="20"/>
        <v>1.1175091621522526E-3</v>
      </c>
    </row>
    <row r="519" spans="1:4" x14ac:dyDescent="0.3">
      <c r="A519" s="26">
        <v>42905</v>
      </c>
      <c r="B519" s="27">
        <v>152.0359191894531</v>
      </c>
      <c r="C519" s="27">
        <f t="shared" si="19"/>
        <v>5.0241168033862866</v>
      </c>
      <c r="D519" s="29">
        <f t="shared" si="20"/>
        <v>2.9334750518119623E-3</v>
      </c>
    </row>
    <row r="520" spans="1:4" x14ac:dyDescent="0.3">
      <c r="A520" s="26">
        <v>42906</v>
      </c>
      <c r="B520" s="27">
        <v>151.4193115234375</v>
      </c>
      <c r="C520" s="27">
        <f t="shared" si="19"/>
        <v>5.0200528858641205</v>
      </c>
      <c r="D520" s="29">
        <f t="shared" si="20"/>
        <v>-8.088819749229037E-4</v>
      </c>
    </row>
    <row r="521" spans="1:4" x14ac:dyDescent="0.3">
      <c r="A521" s="26">
        <v>42907</v>
      </c>
      <c r="B521" s="27">
        <v>153.07025146484381</v>
      </c>
      <c r="C521" s="27">
        <f t="shared" si="19"/>
        <v>5.030896975911725</v>
      </c>
      <c r="D521" s="29">
        <f t="shared" si="20"/>
        <v>2.1601545430209868E-3</v>
      </c>
    </row>
    <row r="522" spans="1:4" x14ac:dyDescent="0.3">
      <c r="A522" s="26">
        <v>42908</v>
      </c>
      <c r="B522" s="27">
        <v>152.56303405761719</v>
      </c>
      <c r="C522" s="27">
        <f t="shared" si="19"/>
        <v>5.0275778487295488</v>
      </c>
      <c r="D522" s="29">
        <f t="shared" si="20"/>
        <v>-6.5974858918171897E-4</v>
      </c>
    </row>
    <row r="523" spans="1:4" x14ac:dyDescent="0.3">
      <c r="A523" s="26">
        <v>42909</v>
      </c>
      <c r="B523" s="27">
        <v>154.22393798828119</v>
      </c>
      <c r="C523" s="27">
        <f t="shared" si="19"/>
        <v>5.0384056889528885</v>
      </c>
      <c r="D523" s="29">
        <f t="shared" si="20"/>
        <v>2.1536892215554548E-3</v>
      </c>
    </row>
    <row r="524" spans="1:4" x14ac:dyDescent="0.3">
      <c r="A524" s="26">
        <v>42912</v>
      </c>
      <c r="B524" s="27">
        <v>152.75199890136719</v>
      </c>
      <c r="C524" s="27">
        <f t="shared" si="19"/>
        <v>5.0288156840634128</v>
      </c>
      <c r="D524" s="29">
        <f t="shared" si="20"/>
        <v>-1.9033808473387648E-3</v>
      </c>
    </row>
    <row r="525" spans="1:4" x14ac:dyDescent="0.3">
      <c r="A525" s="26">
        <v>42913</v>
      </c>
      <c r="B525" s="27">
        <v>149.75840759277341</v>
      </c>
      <c r="C525" s="27">
        <f t="shared" si="19"/>
        <v>5.0090233796116754</v>
      </c>
      <c r="D525" s="29">
        <f t="shared" si="20"/>
        <v>-3.9357784606145474E-3</v>
      </c>
    </row>
    <row r="526" spans="1:4" x14ac:dyDescent="0.3">
      <c r="A526" s="26">
        <v>42914</v>
      </c>
      <c r="B526" s="27">
        <v>152.4039001464844</v>
      </c>
      <c r="C526" s="27">
        <f t="shared" si="19"/>
        <v>5.0265342344374533</v>
      </c>
      <c r="D526" s="29">
        <f t="shared" si="20"/>
        <v>3.495862067055322E-3</v>
      </c>
    </row>
    <row r="527" spans="1:4" x14ac:dyDescent="0.3">
      <c r="A527" s="26">
        <v>42915</v>
      </c>
      <c r="B527" s="27">
        <v>150.21589660644531</v>
      </c>
      <c r="C527" s="27">
        <f t="shared" si="19"/>
        <v>5.0120735699910597</v>
      </c>
      <c r="D527" s="29">
        <f t="shared" si="20"/>
        <v>-2.8768658029466598E-3</v>
      </c>
    </row>
    <row r="528" spans="1:4" x14ac:dyDescent="0.3">
      <c r="A528" s="26">
        <v>42916</v>
      </c>
      <c r="B528" s="27">
        <v>150.15625</v>
      </c>
      <c r="C528" s="27">
        <f t="shared" si="19"/>
        <v>5.0116764186046661</v>
      </c>
      <c r="D528" s="29">
        <f t="shared" si="20"/>
        <v>-7.9238937906178641E-5</v>
      </c>
    </row>
    <row r="529" spans="1:4" x14ac:dyDescent="0.3">
      <c r="A529" s="26">
        <v>42919</v>
      </c>
      <c r="B529" s="27">
        <v>147.6201477050781</v>
      </c>
      <c r="C529" s="27">
        <f t="shared" si="19"/>
        <v>4.9946424049177374</v>
      </c>
      <c r="D529" s="29">
        <f t="shared" si="20"/>
        <v>-3.398865422295394E-3</v>
      </c>
    </row>
    <row r="530" spans="1:4" x14ac:dyDescent="0.3">
      <c r="A530" s="26">
        <v>42921</v>
      </c>
      <c r="B530" s="27">
        <v>149.51972961425781</v>
      </c>
      <c r="C530" s="27">
        <f t="shared" si="19"/>
        <v>5.0074283547873106</v>
      </c>
      <c r="D530" s="29">
        <f t="shared" si="20"/>
        <v>2.5599329907950441E-3</v>
      </c>
    </row>
    <row r="531" spans="1:4" x14ac:dyDescent="0.3">
      <c r="A531" s="26">
        <v>42922</v>
      </c>
      <c r="B531" s="27">
        <v>148.00799560546881</v>
      </c>
      <c r="C531" s="27">
        <f t="shared" si="19"/>
        <v>4.9972662966661279</v>
      </c>
      <c r="D531" s="29">
        <f t="shared" si="20"/>
        <v>-2.0293966086338822E-3</v>
      </c>
    </row>
    <row r="532" spans="1:4" x14ac:dyDescent="0.3">
      <c r="A532" s="26">
        <v>42923</v>
      </c>
      <c r="B532" s="27">
        <v>150.61372375488281</v>
      </c>
      <c r="C532" s="27">
        <f t="shared" si="19"/>
        <v>5.0147184384044197</v>
      </c>
      <c r="D532" s="29">
        <f t="shared" si="20"/>
        <v>3.492337750728769E-3</v>
      </c>
    </row>
    <row r="533" spans="1:4" x14ac:dyDescent="0.3">
      <c r="A533" s="26">
        <v>42926</v>
      </c>
      <c r="B533" s="27">
        <v>152.66249084472659</v>
      </c>
      <c r="C533" s="27">
        <f t="shared" si="19"/>
        <v>5.0282295425265282</v>
      </c>
      <c r="D533" s="29">
        <f t="shared" si="20"/>
        <v>2.6942896770905111E-3</v>
      </c>
    </row>
    <row r="534" spans="1:4" x14ac:dyDescent="0.3">
      <c r="A534" s="26">
        <v>42927</v>
      </c>
      <c r="B534" s="27">
        <v>154.42283630371091</v>
      </c>
      <c r="C534" s="27">
        <f t="shared" si="19"/>
        <v>5.0396945301754723</v>
      </c>
      <c r="D534" s="29">
        <f t="shared" si="20"/>
        <v>2.2801241574152975E-3</v>
      </c>
    </row>
    <row r="535" spans="1:4" x14ac:dyDescent="0.3">
      <c r="A535" s="26">
        <v>42928</v>
      </c>
      <c r="B535" s="27">
        <v>158.03302001953119</v>
      </c>
      <c r="C535" s="27">
        <f t="shared" si="19"/>
        <v>5.0628039986575155</v>
      </c>
      <c r="D535" s="29">
        <f t="shared" si="20"/>
        <v>4.5854899227868451E-3</v>
      </c>
    </row>
    <row r="536" spans="1:4" x14ac:dyDescent="0.3">
      <c r="A536" s="26">
        <v>42929</v>
      </c>
      <c r="B536" s="27">
        <v>158.39105224609381</v>
      </c>
      <c r="C536" s="27">
        <f t="shared" si="19"/>
        <v>5.0650669894394316</v>
      </c>
      <c r="D536" s="29">
        <f t="shared" si="20"/>
        <v>4.4698368384721299E-4</v>
      </c>
    </row>
    <row r="537" spans="1:4" x14ac:dyDescent="0.3">
      <c r="A537" s="26">
        <v>42930</v>
      </c>
      <c r="B537" s="27">
        <v>159.09718322753909</v>
      </c>
      <c r="C537" s="27">
        <f t="shared" si="19"/>
        <v>5.0695152307717999</v>
      </c>
      <c r="D537" s="29">
        <f t="shared" si="20"/>
        <v>8.7821964480294668E-4</v>
      </c>
    </row>
    <row r="538" spans="1:4" x14ac:dyDescent="0.3">
      <c r="A538" s="26">
        <v>42933</v>
      </c>
      <c r="B538" s="27">
        <v>158.8584899902344</v>
      </c>
      <c r="C538" s="27">
        <f t="shared" si="19"/>
        <v>5.0680138058736111</v>
      </c>
      <c r="D538" s="29">
        <f t="shared" si="20"/>
        <v>-2.9616735128346061E-4</v>
      </c>
    </row>
    <row r="539" spans="1:4" x14ac:dyDescent="0.3">
      <c r="A539" s="26">
        <v>42934</v>
      </c>
      <c r="B539" s="27">
        <v>161.97142028808591</v>
      </c>
      <c r="C539" s="27">
        <f t="shared" si="19"/>
        <v>5.0874199016941244</v>
      </c>
      <c r="D539" s="29">
        <f t="shared" si="20"/>
        <v>3.8291323906858299E-3</v>
      </c>
    </row>
    <row r="540" spans="1:4" x14ac:dyDescent="0.3">
      <c r="A540" s="26">
        <v>42935</v>
      </c>
      <c r="B540" s="27">
        <v>163.24444580078119</v>
      </c>
      <c r="C540" s="27">
        <f t="shared" si="19"/>
        <v>5.0952487449179173</v>
      </c>
      <c r="D540" s="29">
        <f t="shared" si="20"/>
        <v>1.5388631909833972E-3</v>
      </c>
    </row>
    <row r="541" spans="1:4" x14ac:dyDescent="0.3">
      <c r="A541" s="26">
        <v>42936</v>
      </c>
      <c r="B541" s="27">
        <v>163.63232421875</v>
      </c>
      <c r="C541" s="27">
        <f t="shared" si="19"/>
        <v>5.0976219854513367</v>
      </c>
      <c r="D541" s="29">
        <f t="shared" si="20"/>
        <v>4.6577520592805399E-4</v>
      </c>
    </row>
    <row r="542" spans="1:4" x14ac:dyDescent="0.3">
      <c r="A542" s="26">
        <v>42937</v>
      </c>
      <c r="B542" s="27">
        <v>163.53285217285159</v>
      </c>
      <c r="C542" s="27">
        <f t="shared" si="19"/>
        <v>5.0970139008742397</v>
      </c>
      <c r="D542" s="29">
        <f t="shared" si="20"/>
        <v>-1.1928789126236516E-4</v>
      </c>
    </row>
    <row r="543" spans="1:4" x14ac:dyDescent="0.3">
      <c r="A543" s="26">
        <v>42940</v>
      </c>
      <c r="B543" s="27">
        <v>165.09428405761719</v>
      </c>
      <c r="C543" s="27">
        <f t="shared" si="19"/>
        <v>5.1065167292341913</v>
      </c>
      <c r="D543" s="29">
        <f t="shared" si="20"/>
        <v>1.8643912974853905E-3</v>
      </c>
    </row>
    <row r="544" spans="1:4" x14ac:dyDescent="0.3">
      <c r="A544" s="26">
        <v>42941</v>
      </c>
      <c r="B544" s="27">
        <v>164.3782043457031</v>
      </c>
      <c r="C544" s="27">
        <f t="shared" si="19"/>
        <v>5.1021698968603673</v>
      </c>
      <c r="D544" s="29">
        <f t="shared" si="20"/>
        <v>-8.5123237704065602E-4</v>
      </c>
    </row>
    <row r="545" spans="1:4" x14ac:dyDescent="0.3">
      <c r="A545" s="26">
        <v>42942</v>
      </c>
      <c r="B545" s="27">
        <v>164.70640563964841</v>
      </c>
      <c r="C545" s="27">
        <f t="shared" si="19"/>
        <v>5.1041645291998972</v>
      </c>
      <c r="D545" s="29">
        <f t="shared" si="20"/>
        <v>3.9093804789946951E-4</v>
      </c>
    </row>
    <row r="546" spans="1:4" x14ac:dyDescent="0.3">
      <c r="A546" s="26">
        <v>42943</v>
      </c>
      <c r="B546" s="27">
        <v>169.5100402832031</v>
      </c>
      <c r="C546" s="27">
        <f t="shared" si="19"/>
        <v>5.132912159775362</v>
      </c>
      <c r="D546" s="29">
        <f t="shared" si="20"/>
        <v>5.6321912060250945E-3</v>
      </c>
    </row>
    <row r="547" spans="1:4" x14ac:dyDescent="0.3">
      <c r="A547" s="26">
        <v>42944</v>
      </c>
      <c r="B547" s="27">
        <v>171.50907897949219</v>
      </c>
      <c r="C547" s="27">
        <f t="shared" si="19"/>
        <v>5.144636203860725</v>
      </c>
      <c r="D547" s="29">
        <f t="shared" si="20"/>
        <v>2.2840920943942855E-3</v>
      </c>
    </row>
    <row r="548" spans="1:4" x14ac:dyDescent="0.3">
      <c r="A548" s="26">
        <v>42947</v>
      </c>
      <c r="B548" s="27">
        <v>168.32655334472659</v>
      </c>
      <c r="C548" s="27">
        <f t="shared" si="19"/>
        <v>5.1259058626360634</v>
      </c>
      <c r="D548" s="29">
        <f t="shared" si="20"/>
        <v>-3.6407513539258307E-3</v>
      </c>
    </row>
    <row r="549" spans="1:4" x14ac:dyDescent="0.3">
      <c r="A549" s="26">
        <v>42948</v>
      </c>
      <c r="B549" s="27">
        <v>168.93324279785159</v>
      </c>
      <c r="C549" s="27">
        <f t="shared" si="19"/>
        <v>5.1295036238544114</v>
      </c>
      <c r="D549" s="29">
        <f t="shared" si="20"/>
        <v>7.0187812940014638E-4</v>
      </c>
    </row>
    <row r="550" spans="1:4" x14ac:dyDescent="0.3">
      <c r="A550" s="26">
        <v>42949</v>
      </c>
      <c r="B550" s="27">
        <v>168.37626647949219</v>
      </c>
      <c r="C550" s="27">
        <f t="shared" si="19"/>
        <v>5.1262011564809606</v>
      </c>
      <c r="D550" s="29">
        <f t="shared" si="20"/>
        <v>-6.4381811879277162E-4</v>
      </c>
    </row>
    <row r="551" spans="1:4" x14ac:dyDescent="0.3">
      <c r="A551" s="26">
        <v>42950</v>
      </c>
      <c r="B551" s="27">
        <v>167.670166015625</v>
      </c>
      <c r="C551" s="27">
        <f t="shared" si="19"/>
        <v>5.1219987520823747</v>
      </c>
      <c r="D551" s="29">
        <f t="shared" si="20"/>
        <v>-8.1978921043179831E-4</v>
      </c>
    </row>
    <row r="552" spans="1:4" x14ac:dyDescent="0.3">
      <c r="A552" s="26">
        <v>42951</v>
      </c>
      <c r="B552" s="27">
        <v>168.69450378417969</v>
      </c>
      <c r="C552" s="27">
        <f t="shared" si="19"/>
        <v>5.1280894092000846</v>
      </c>
      <c r="D552" s="29">
        <f t="shared" si="20"/>
        <v>1.1891172592015664E-3</v>
      </c>
    </row>
    <row r="553" spans="1:4" x14ac:dyDescent="0.3">
      <c r="A553" s="26">
        <v>42954</v>
      </c>
      <c r="B553" s="27">
        <v>171.04164123535159</v>
      </c>
      <c r="C553" s="27">
        <f t="shared" si="19"/>
        <v>5.14190704285366</v>
      </c>
      <c r="D553" s="29">
        <f t="shared" si="20"/>
        <v>2.694499364380265E-3</v>
      </c>
    </row>
    <row r="554" spans="1:4" x14ac:dyDescent="0.3">
      <c r="A554" s="26">
        <v>42955</v>
      </c>
      <c r="B554" s="27">
        <v>170.2957458496094</v>
      </c>
      <c r="C554" s="27">
        <f t="shared" si="19"/>
        <v>5.1375366070255035</v>
      </c>
      <c r="D554" s="29">
        <f t="shared" si="20"/>
        <v>-8.4996399035075498E-4</v>
      </c>
    </row>
    <row r="555" spans="1:4" x14ac:dyDescent="0.3">
      <c r="A555" s="26">
        <v>42956</v>
      </c>
      <c r="B555" s="27">
        <v>170.2460021972656</v>
      </c>
      <c r="C555" s="27">
        <f t="shared" si="19"/>
        <v>5.1372444627995293</v>
      </c>
      <c r="D555" s="29">
        <f t="shared" si="20"/>
        <v>-5.6864650964216779E-5</v>
      </c>
    </row>
    <row r="556" spans="1:4" x14ac:dyDescent="0.3">
      <c r="A556" s="26">
        <v>42957</v>
      </c>
      <c r="B556" s="27">
        <v>166.48664855957031</v>
      </c>
      <c r="C556" s="27">
        <f t="shared" si="19"/>
        <v>5.1149151173737923</v>
      </c>
      <c r="D556" s="29">
        <f t="shared" si="20"/>
        <v>-4.3465608046163728E-3</v>
      </c>
    </row>
    <row r="557" spans="1:4" x14ac:dyDescent="0.3">
      <c r="A557" s="26">
        <v>42958</v>
      </c>
      <c r="B557" s="27">
        <v>167.1629333496094</v>
      </c>
      <c r="C557" s="27">
        <f t="shared" si="19"/>
        <v>5.1189689855808647</v>
      </c>
      <c r="D557" s="29">
        <f t="shared" si="20"/>
        <v>7.9255825640234256E-4</v>
      </c>
    </row>
    <row r="558" spans="1:4" x14ac:dyDescent="0.3">
      <c r="A558" s="26">
        <v>42961</v>
      </c>
      <c r="B558" s="27">
        <v>169.818359375</v>
      </c>
      <c r="C558" s="27">
        <f t="shared" si="19"/>
        <v>5.1347293915599996</v>
      </c>
      <c r="D558" s="29">
        <f t="shared" si="20"/>
        <v>3.078824275655645E-3</v>
      </c>
    </row>
    <row r="559" spans="1:4" x14ac:dyDescent="0.3">
      <c r="A559" s="26">
        <v>42962</v>
      </c>
      <c r="B559" s="27">
        <v>170.06700134277341</v>
      </c>
      <c r="C559" s="27">
        <f t="shared" si="19"/>
        <v>5.136192484948916</v>
      </c>
      <c r="D559" s="29">
        <f t="shared" si="20"/>
        <v>2.8494070034557062E-4</v>
      </c>
    </row>
    <row r="560" spans="1:4" x14ac:dyDescent="0.3">
      <c r="A560" s="26">
        <v>42963</v>
      </c>
      <c r="B560" s="27">
        <v>169.07244873046881</v>
      </c>
      <c r="C560" s="27">
        <f t="shared" si="19"/>
        <v>5.1303273137742957</v>
      </c>
      <c r="D560" s="29">
        <f t="shared" si="20"/>
        <v>-1.1419297839415643E-3</v>
      </c>
    </row>
    <row r="561" spans="1:4" x14ac:dyDescent="0.3">
      <c r="A561" s="26">
        <v>42964</v>
      </c>
      <c r="B561" s="27">
        <v>165.99931335449219</v>
      </c>
      <c r="C561" s="27">
        <f t="shared" si="19"/>
        <v>5.1119836519292665</v>
      </c>
      <c r="D561" s="29">
        <f t="shared" si="20"/>
        <v>-3.5755344100129038E-3</v>
      </c>
    </row>
    <row r="562" spans="1:4" x14ac:dyDescent="0.3">
      <c r="A562" s="26">
        <v>42965</v>
      </c>
      <c r="B562" s="27">
        <v>166.49658203125</v>
      </c>
      <c r="C562" s="27">
        <f t="shared" si="19"/>
        <v>5.1149747808689483</v>
      </c>
      <c r="D562" s="29">
        <f t="shared" si="20"/>
        <v>5.8512099086094338E-4</v>
      </c>
    </row>
    <row r="563" spans="1:4" x14ac:dyDescent="0.3">
      <c r="A563" s="26">
        <v>42968</v>
      </c>
      <c r="B563" s="27">
        <v>166.86456298828119</v>
      </c>
      <c r="C563" s="27">
        <f t="shared" si="19"/>
        <v>5.1171824833081132</v>
      </c>
      <c r="D563" s="29">
        <f t="shared" si="20"/>
        <v>4.3161550813941574E-4</v>
      </c>
    </row>
    <row r="564" spans="1:4" x14ac:dyDescent="0.3">
      <c r="A564" s="26">
        <v>42969</v>
      </c>
      <c r="B564" s="27">
        <v>168.71440124511719</v>
      </c>
      <c r="C564" s="27">
        <f t="shared" si="19"/>
        <v>5.1282073519138889</v>
      </c>
      <c r="D564" s="29">
        <f t="shared" si="20"/>
        <v>2.1544802519233297E-3</v>
      </c>
    </row>
    <row r="565" spans="1:4" x14ac:dyDescent="0.3">
      <c r="A565" s="26">
        <v>42970</v>
      </c>
      <c r="B565" s="27">
        <v>167.78948974609381</v>
      </c>
      <c r="C565" s="27">
        <f t="shared" si="19"/>
        <v>5.1227101564700668</v>
      </c>
      <c r="D565" s="29">
        <f t="shared" si="20"/>
        <v>-1.0719526467217744E-3</v>
      </c>
    </row>
    <row r="566" spans="1:4" x14ac:dyDescent="0.3">
      <c r="A566" s="26">
        <v>42971</v>
      </c>
      <c r="B566" s="27">
        <v>166.8247985839844</v>
      </c>
      <c r="C566" s="27">
        <f t="shared" si="19"/>
        <v>5.1169441514398297</v>
      </c>
      <c r="D566" s="29">
        <f t="shared" si="20"/>
        <v>-1.12557705865024E-3</v>
      </c>
    </row>
    <row r="567" spans="1:4" x14ac:dyDescent="0.3">
      <c r="A567" s="26">
        <v>42972</v>
      </c>
      <c r="B567" s="27">
        <v>165.41255187988281</v>
      </c>
      <c r="C567" s="27">
        <f t="shared" si="19"/>
        <v>5.1084426677385526</v>
      </c>
      <c r="D567" s="29">
        <f t="shared" si="20"/>
        <v>-1.6614376568649947E-3</v>
      </c>
    </row>
    <row r="568" spans="1:4" x14ac:dyDescent="0.3">
      <c r="A568" s="26">
        <v>42975</v>
      </c>
      <c r="B568" s="27">
        <v>166.3275146484375</v>
      </c>
      <c r="C568" s="27">
        <f t="shared" si="19"/>
        <v>5.1139588243979999</v>
      </c>
      <c r="D568" s="29">
        <f t="shared" si="20"/>
        <v>1.0798117974943899E-3</v>
      </c>
    </row>
    <row r="569" spans="1:4" x14ac:dyDescent="0.3">
      <c r="A569" s="26">
        <v>42976</v>
      </c>
      <c r="B569" s="27">
        <v>167.13310241699219</v>
      </c>
      <c r="C569" s="27">
        <f t="shared" si="19"/>
        <v>5.1187905154256441</v>
      </c>
      <c r="D569" s="29">
        <f t="shared" si="20"/>
        <v>9.4480444476663372E-4</v>
      </c>
    </row>
    <row r="570" spans="1:4" x14ac:dyDescent="0.3">
      <c r="A570" s="26">
        <v>42977</v>
      </c>
      <c r="B570" s="27">
        <v>168.9928894042969</v>
      </c>
      <c r="C570" s="27">
        <f t="shared" si="19"/>
        <v>5.1298566395071283</v>
      </c>
      <c r="D570" s="29">
        <f t="shared" si="20"/>
        <v>2.1618630510735759E-3</v>
      </c>
    </row>
    <row r="571" spans="1:4" x14ac:dyDescent="0.3">
      <c r="A571" s="26">
        <v>42978</v>
      </c>
      <c r="B571" s="27">
        <v>171.03172302246091</v>
      </c>
      <c r="C571" s="27">
        <f t="shared" si="19"/>
        <v>5.1418490540481594</v>
      </c>
      <c r="D571" s="29">
        <f t="shared" si="20"/>
        <v>2.3377679697074161E-3</v>
      </c>
    </row>
    <row r="572" spans="1:4" x14ac:dyDescent="0.3">
      <c r="A572" s="26">
        <v>42979</v>
      </c>
      <c r="B572" s="27">
        <v>171.08143615722659</v>
      </c>
      <c r="C572" s="27">
        <f t="shared" si="19"/>
        <v>5.1421396779764228</v>
      </c>
      <c r="D572" s="29">
        <f t="shared" si="20"/>
        <v>5.6521287421729127E-5</v>
      </c>
    </row>
    <row r="573" spans="1:4" x14ac:dyDescent="0.3">
      <c r="A573" s="26">
        <v>42983</v>
      </c>
      <c r="B573" s="27">
        <v>169.78852844238281</v>
      </c>
      <c r="C573" s="27">
        <f t="shared" si="19"/>
        <v>5.1345537123628802</v>
      </c>
      <c r="D573" s="29">
        <f t="shared" si="20"/>
        <v>-1.4752546777430098E-3</v>
      </c>
    </row>
    <row r="574" spans="1:4" x14ac:dyDescent="0.3">
      <c r="A574" s="26">
        <v>42984</v>
      </c>
      <c r="B574" s="27">
        <v>171.15104675292969</v>
      </c>
      <c r="C574" s="27">
        <f t="shared" si="19"/>
        <v>5.1425464809547439</v>
      </c>
      <c r="D574" s="29">
        <f t="shared" si="20"/>
        <v>1.5566627675194233E-3</v>
      </c>
    </row>
    <row r="575" spans="1:4" x14ac:dyDescent="0.3">
      <c r="A575" s="26">
        <v>42985</v>
      </c>
      <c r="B575" s="27">
        <v>172.26496887207031</v>
      </c>
      <c r="C575" s="27">
        <f t="shared" si="19"/>
        <v>5.1490338081329288</v>
      </c>
      <c r="D575" s="29">
        <f t="shared" si="20"/>
        <v>1.2615009319236759E-3</v>
      </c>
    </row>
    <row r="576" spans="1:4" x14ac:dyDescent="0.3">
      <c r="A576" s="26">
        <v>42986</v>
      </c>
      <c r="B576" s="27">
        <v>170.01725769042969</v>
      </c>
      <c r="C576" s="27">
        <f t="shared" si="19"/>
        <v>5.135899947723936</v>
      </c>
      <c r="D576" s="29">
        <f t="shared" si="20"/>
        <v>-2.5507427021060902E-3</v>
      </c>
    </row>
    <row r="577" spans="1:4" x14ac:dyDescent="0.3">
      <c r="A577" s="26">
        <v>42989</v>
      </c>
      <c r="B577" s="27">
        <v>172.56329345703119</v>
      </c>
      <c r="C577" s="27">
        <f t="shared" si="19"/>
        <v>5.1507640877647347</v>
      </c>
      <c r="D577" s="29">
        <f t="shared" si="20"/>
        <v>2.894164643410857E-3</v>
      </c>
    </row>
    <row r="578" spans="1:4" x14ac:dyDescent="0.3">
      <c r="A578" s="26">
        <v>42990</v>
      </c>
      <c r="B578" s="27">
        <v>172.01629638671881</v>
      </c>
      <c r="C578" s="27">
        <f t="shared" si="19"/>
        <v>5.1475892187597045</v>
      </c>
      <c r="D578" s="29">
        <f t="shared" si="20"/>
        <v>-6.163879670925132E-4</v>
      </c>
    </row>
    <row r="579" spans="1:4" x14ac:dyDescent="0.3">
      <c r="A579" s="26">
        <v>42991</v>
      </c>
      <c r="B579" s="27">
        <v>172.1058349609375</v>
      </c>
      <c r="C579" s="27">
        <f t="shared" ref="C579:C642" si="21">LN(B579)</f>
        <v>5.1481096071223398</v>
      </c>
      <c r="D579" s="29">
        <f t="shared" si="20"/>
        <v>1.0109360722476701E-4</v>
      </c>
    </row>
    <row r="580" spans="1:4" x14ac:dyDescent="0.3">
      <c r="A580" s="26">
        <v>42992</v>
      </c>
      <c r="B580" s="27">
        <v>170.02723693847659</v>
      </c>
      <c r="C580" s="27">
        <f t="shared" si="21"/>
        <v>5.1359586415019995</v>
      </c>
      <c r="D580" s="29">
        <f t="shared" ref="D580:D643" si="22">C580/C579-1</f>
        <v>-2.3602771789337229E-3</v>
      </c>
    </row>
    <row r="581" spans="1:4" x14ac:dyDescent="0.3">
      <c r="A581" s="26">
        <v>42993</v>
      </c>
      <c r="B581" s="27">
        <v>170.7035217285156</v>
      </c>
      <c r="C581" s="27">
        <f t="shared" si="21"/>
        <v>5.1399282606860863</v>
      </c>
      <c r="D581" s="29">
        <f t="shared" si="22"/>
        <v>7.7290715544497957E-4</v>
      </c>
    </row>
    <row r="582" spans="1:4" x14ac:dyDescent="0.3">
      <c r="A582" s="26">
        <v>42996</v>
      </c>
      <c r="B582" s="27">
        <v>169.0823974609375</v>
      </c>
      <c r="C582" s="27">
        <f t="shared" si="21"/>
        <v>5.1303861550452909</v>
      </c>
      <c r="D582" s="29">
        <f t="shared" si="22"/>
        <v>-1.8564666969732579E-3</v>
      </c>
    </row>
    <row r="583" spans="1:4" x14ac:dyDescent="0.3">
      <c r="A583" s="26">
        <v>42997</v>
      </c>
      <c r="B583" s="27">
        <v>171.57872009277341</v>
      </c>
      <c r="C583" s="27">
        <f t="shared" si="21"/>
        <v>5.1450421705807656</v>
      </c>
      <c r="D583" s="29">
        <f t="shared" si="22"/>
        <v>2.856708070807068E-3</v>
      </c>
    </row>
    <row r="584" spans="1:4" x14ac:dyDescent="0.3">
      <c r="A584" s="26">
        <v>42998</v>
      </c>
      <c r="B584" s="27">
        <v>171.2306213378906</v>
      </c>
      <c r="C584" s="27">
        <f t="shared" si="21"/>
        <v>5.1430113106685393</v>
      </c>
      <c r="D584" s="29">
        <f t="shared" si="22"/>
        <v>-3.947217233395417E-4</v>
      </c>
    </row>
    <row r="585" spans="1:4" x14ac:dyDescent="0.3">
      <c r="A585" s="26">
        <v>42999</v>
      </c>
      <c r="B585" s="27">
        <v>170.17640686035159</v>
      </c>
      <c r="C585" s="27">
        <f t="shared" si="21"/>
        <v>5.1368355864386794</v>
      </c>
      <c r="D585" s="29">
        <f t="shared" si="22"/>
        <v>-1.2007992704681225E-3</v>
      </c>
    </row>
    <row r="586" spans="1:4" x14ac:dyDescent="0.3">
      <c r="A586" s="26">
        <v>43000</v>
      </c>
      <c r="B586" s="27">
        <v>169.60951232910159</v>
      </c>
      <c r="C586" s="27">
        <f t="shared" si="21"/>
        <v>5.1334988086311126</v>
      </c>
      <c r="D586" s="29">
        <f t="shared" si="22"/>
        <v>-6.4957847130164836E-4</v>
      </c>
    </row>
    <row r="587" spans="1:4" x14ac:dyDescent="0.3">
      <c r="A587" s="26">
        <v>43003</v>
      </c>
      <c r="B587" s="27">
        <v>161.9813537597656</v>
      </c>
      <c r="C587" s="27">
        <f t="shared" si="21"/>
        <v>5.0874812283594819</v>
      </c>
      <c r="D587" s="29">
        <f t="shared" si="22"/>
        <v>-8.9641747250939208E-3</v>
      </c>
    </row>
    <row r="588" spans="1:4" x14ac:dyDescent="0.3">
      <c r="A588" s="26">
        <v>43004</v>
      </c>
      <c r="B588" s="27">
        <v>163.3140563964844</v>
      </c>
      <c r="C588" s="27">
        <f t="shared" si="21"/>
        <v>5.0956750734090708</v>
      </c>
      <c r="D588" s="29">
        <f t="shared" si="22"/>
        <v>1.6105897362161947E-3</v>
      </c>
    </row>
    <row r="589" spans="1:4" x14ac:dyDescent="0.3">
      <c r="A589" s="26">
        <v>43005</v>
      </c>
      <c r="B589" s="27">
        <v>166.7651062011719</v>
      </c>
      <c r="C589" s="27">
        <f t="shared" si="21"/>
        <v>5.1165862726036098</v>
      </c>
      <c r="D589" s="29">
        <f t="shared" si="22"/>
        <v>4.1037151885254808E-3</v>
      </c>
    </row>
    <row r="590" spans="1:4" x14ac:dyDescent="0.3">
      <c r="A590" s="26">
        <v>43006</v>
      </c>
      <c r="B590" s="27">
        <v>167.80937194824219</v>
      </c>
      <c r="C590" s="27">
        <f t="shared" si="21"/>
        <v>5.1228286443700028</v>
      </c>
      <c r="D590" s="29">
        <f t="shared" si="22"/>
        <v>1.2200266806439153E-3</v>
      </c>
    </row>
    <row r="591" spans="1:4" x14ac:dyDescent="0.3">
      <c r="A591" s="26">
        <v>43007</v>
      </c>
      <c r="B591" s="27">
        <v>169.9377136230469</v>
      </c>
      <c r="C591" s="27">
        <f t="shared" si="21"/>
        <v>5.1354319794602148</v>
      </c>
      <c r="D591" s="29">
        <f t="shared" si="22"/>
        <v>2.460229682689663E-3</v>
      </c>
    </row>
    <row r="592" spans="1:4" x14ac:dyDescent="0.3">
      <c r="A592" s="26">
        <v>43010</v>
      </c>
      <c r="B592" s="27">
        <v>168.54534912109381</v>
      </c>
      <c r="C592" s="27">
        <f t="shared" si="21"/>
        <v>5.1272048478321057</v>
      </c>
      <c r="D592" s="29">
        <f t="shared" si="22"/>
        <v>-1.6020330248778247E-3</v>
      </c>
    </row>
    <row r="593" spans="1:4" x14ac:dyDescent="0.3">
      <c r="A593" s="26">
        <v>43011</v>
      </c>
      <c r="B593" s="27">
        <v>169.0326843261719</v>
      </c>
      <c r="C593" s="27">
        <f t="shared" si="21"/>
        <v>5.1300920946037332</v>
      </c>
      <c r="D593" s="29">
        <f t="shared" si="22"/>
        <v>5.6312296023208752E-4</v>
      </c>
    </row>
    <row r="594" spans="1:4" x14ac:dyDescent="0.3">
      <c r="A594" s="26">
        <v>43012</v>
      </c>
      <c r="B594" s="27">
        <v>167.5010681152344</v>
      </c>
      <c r="C594" s="27">
        <f t="shared" si="21"/>
        <v>5.1209897280521588</v>
      </c>
      <c r="D594" s="29">
        <f t="shared" si="22"/>
        <v>-1.7743086057167012E-3</v>
      </c>
    </row>
    <row r="595" spans="1:4" x14ac:dyDescent="0.3">
      <c r="A595" s="26">
        <v>43013</v>
      </c>
      <c r="B595" s="27">
        <v>170.3056945800781</v>
      </c>
      <c r="C595" s="27">
        <f t="shared" si="21"/>
        <v>5.1375950256303042</v>
      </c>
      <c r="D595" s="29">
        <f t="shared" si="22"/>
        <v>3.2425953692474252E-3</v>
      </c>
    </row>
    <row r="596" spans="1:4" x14ac:dyDescent="0.3">
      <c r="A596" s="26">
        <v>43014</v>
      </c>
      <c r="B596" s="27">
        <v>171.29029846191409</v>
      </c>
      <c r="C596" s="27">
        <f t="shared" si="21"/>
        <v>5.1433597689446771</v>
      </c>
      <c r="D596" s="29">
        <f t="shared" si="22"/>
        <v>1.1220704017373961E-3</v>
      </c>
    </row>
    <row r="597" spans="1:4" x14ac:dyDescent="0.3">
      <c r="A597" s="26">
        <v>43017</v>
      </c>
      <c r="B597" s="27">
        <v>171.55882263183591</v>
      </c>
      <c r="C597" s="27">
        <f t="shared" si="21"/>
        <v>5.1449261969055922</v>
      </c>
      <c r="D597" s="29">
        <f t="shared" si="22"/>
        <v>3.0455344974567033E-4</v>
      </c>
    </row>
    <row r="598" spans="1:4" x14ac:dyDescent="0.3">
      <c r="A598" s="26">
        <v>43018</v>
      </c>
      <c r="B598" s="27">
        <v>170.65379333496091</v>
      </c>
      <c r="C598" s="27">
        <f t="shared" si="21"/>
        <v>5.1396369038484737</v>
      </c>
      <c r="D598" s="29">
        <f t="shared" si="22"/>
        <v>-1.0280600449233956E-3</v>
      </c>
    </row>
    <row r="599" spans="1:4" x14ac:dyDescent="0.3">
      <c r="A599" s="26">
        <v>43019</v>
      </c>
      <c r="B599" s="27">
        <v>171.79750061035159</v>
      </c>
      <c r="C599" s="27">
        <f t="shared" si="21"/>
        <v>5.1463164611925913</v>
      </c>
      <c r="D599" s="29">
        <f t="shared" si="22"/>
        <v>1.2996165816920868E-3</v>
      </c>
    </row>
    <row r="600" spans="1:4" x14ac:dyDescent="0.3">
      <c r="A600" s="26">
        <v>43020</v>
      </c>
      <c r="B600" s="27">
        <v>171.6085510253906</v>
      </c>
      <c r="C600" s="27">
        <f t="shared" si="21"/>
        <v>5.1452160169626264</v>
      </c>
      <c r="D600" s="29">
        <f t="shared" si="22"/>
        <v>-2.1383143424291706E-4</v>
      </c>
    </row>
    <row r="601" spans="1:4" x14ac:dyDescent="0.3">
      <c r="A601" s="26">
        <v>43021</v>
      </c>
      <c r="B601" s="27">
        <v>172.79206848144531</v>
      </c>
      <c r="C601" s="27">
        <f t="shared" si="21"/>
        <v>5.1520889553248823</v>
      </c>
      <c r="D601" s="29">
        <f t="shared" si="22"/>
        <v>1.3357919938827845E-3</v>
      </c>
    </row>
    <row r="602" spans="1:4" x14ac:dyDescent="0.3">
      <c r="A602" s="26">
        <v>43024</v>
      </c>
      <c r="B602" s="27">
        <v>173.56779479980469</v>
      </c>
      <c r="C602" s="27">
        <f t="shared" si="21"/>
        <v>5.1565682711904213</v>
      </c>
      <c r="D602" s="29">
        <f t="shared" si="22"/>
        <v>8.6941741580548459E-4</v>
      </c>
    </row>
    <row r="603" spans="1:4" x14ac:dyDescent="0.3">
      <c r="A603" s="26">
        <v>43025</v>
      </c>
      <c r="B603" s="27">
        <v>175.14910888671881</v>
      </c>
      <c r="C603" s="27">
        <f t="shared" si="21"/>
        <v>5.1656376619155591</v>
      </c>
      <c r="D603" s="29">
        <f t="shared" si="22"/>
        <v>1.7588035779159128E-3</v>
      </c>
    </row>
    <row r="604" spans="1:4" x14ac:dyDescent="0.3">
      <c r="A604" s="26">
        <v>43026</v>
      </c>
      <c r="B604" s="27">
        <v>175.06953430175781</v>
      </c>
      <c r="C604" s="27">
        <f t="shared" si="21"/>
        <v>5.1651832338725177</v>
      </c>
      <c r="D604" s="29">
        <f t="shared" si="22"/>
        <v>-8.7971335347769575E-5</v>
      </c>
    </row>
    <row r="605" spans="1:4" x14ac:dyDescent="0.3">
      <c r="A605" s="26">
        <v>43027</v>
      </c>
      <c r="B605" s="27">
        <v>173.6075744628906</v>
      </c>
      <c r="C605" s="27">
        <f t="shared" si="21"/>
        <v>5.1567974329730939</v>
      </c>
      <c r="D605" s="29">
        <f t="shared" si="22"/>
        <v>-1.6235243784636921E-3</v>
      </c>
    </row>
    <row r="606" spans="1:4" x14ac:dyDescent="0.3">
      <c r="A606" s="26">
        <v>43028</v>
      </c>
      <c r="B606" s="27">
        <v>174.0252685546875</v>
      </c>
      <c r="C606" s="27">
        <f t="shared" si="21"/>
        <v>5.1592005102495602</v>
      </c>
      <c r="D606" s="29">
        <f t="shared" si="22"/>
        <v>4.660018757185469E-4</v>
      </c>
    </row>
    <row r="607" spans="1:4" x14ac:dyDescent="0.3">
      <c r="A607" s="26">
        <v>43031</v>
      </c>
      <c r="B607" s="27">
        <v>170.3355407714844</v>
      </c>
      <c r="C607" s="27">
        <f t="shared" si="21"/>
        <v>5.1377702609710987</v>
      </c>
      <c r="D607" s="29">
        <f t="shared" si="22"/>
        <v>-4.15379267308702E-3</v>
      </c>
    </row>
    <row r="608" spans="1:4" x14ac:dyDescent="0.3">
      <c r="A608" s="26">
        <v>43032</v>
      </c>
      <c r="B608" s="27">
        <v>170.86265563964841</v>
      </c>
      <c r="C608" s="27">
        <f t="shared" si="21"/>
        <v>5.1408600503841928</v>
      </c>
      <c r="D608" s="29">
        <f t="shared" si="22"/>
        <v>6.0138722756164498E-4</v>
      </c>
    </row>
    <row r="609" spans="1:4" x14ac:dyDescent="0.3">
      <c r="A609" s="26">
        <v>43033</v>
      </c>
      <c r="B609" s="27">
        <v>169.669189453125</v>
      </c>
      <c r="C609" s="27">
        <f t="shared" si="21"/>
        <v>5.1338505968472621</v>
      </c>
      <c r="D609" s="29">
        <f t="shared" si="22"/>
        <v>-1.3634787697452966E-3</v>
      </c>
    </row>
    <row r="610" spans="1:4" x14ac:dyDescent="0.3">
      <c r="A610" s="26">
        <v>43034</v>
      </c>
      <c r="B610" s="27">
        <v>169.69903564453119</v>
      </c>
      <c r="C610" s="27">
        <f t="shared" si="21"/>
        <v>5.134026489516498</v>
      </c>
      <c r="D610" s="29">
        <f t="shared" si="22"/>
        <v>3.4261353328846056E-5</v>
      </c>
    </row>
    <row r="611" spans="1:4" x14ac:dyDescent="0.3">
      <c r="A611" s="26">
        <v>43035</v>
      </c>
      <c r="B611" s="27">
        <v>176.90946960449219</v>
      </c>
      <c r="C611" s="27">
        <f t="shared" si="21"/>
        <v>5.1756381305667762</v>
      </c>
      <c r="D611" s="29">
        <f t="shared" si="22"/>
        <v>8.1050694099937814E-3</v>
      </c>
    </row>
    <row r="612" spans="1:4" x14ac:dyDescent="0.3">
      <c r="A612" s="26">
        <v>43038</v>
      </c>
      <c r="B612" s="27">
        <v>178.88861083984381</v>
      </c>
      <c r="C612" s="27">
        <f t="shared" si="21"/>
        <v>5.1867633263296495</v>
      </c>
      <c r="D612" s="29">
        <f t="shared" si="22"/>
        <v>2.1495312234387498E-3</v>
      </c>
    </row>
    <row r="613" spans="1:4" x14ac:dyDescent="0.3">
      <c r="A613" s="26">
        <v>43039</v>
      </c>
      <c r="B613" s="27">
        <v>179.07757568359381</v>
      </c>
      <c r="C613" s="27">
        <f t="shared" si="21"/>
        <v>5.1878190956643886</v>
      </c>
      <c r="D613" s="29">
        <f t="shared" si="22"/>
        <v>2.0355070557775967E-4</v>
      </c>
    </row>
    <row r="614" spans="1:4" x14ac:dyDescent="0.3">
      <c r="A614" s="26">
        <v>43040</v>
      </c>
      <c r="B614" s="27">
        <v>181.66339111328119</v>
      </c>
      <c r="C614" s="27">
        <f t="shared" si="21"/>
        <v>5.2021554752634875</v>
      </c>
      <c r="D614" s="29">
        <f t="shared" si="22"/>
        <v>2.7634694531042392E-3</v>
      </c>
    </row>
    <row r="615" spans="1:4" x14ac:dyDescent="0.3">
      <c r="A615" s="26">
        <v>43041</v>
      </c>
      <c r="B615" s="27">
        <v>177.94377136230469</v>
      </c>
      <c r="C615" s="27">
        <f t="shared" si="21"/>
        <v>5.1814676091649359</v>
      </c>
      <c r="D615" s="29">
        <f t="shared" si="22"/>
        <v>-3.9767873522664754E-3</v>
      </c>
    </row>
    <row r="616" spans="1:4" x14ac:dyDescent="0.3">
      <c r="A616" s="26">
        <v>43042</v>
      </c>
      <c r="B616" s="27">
        <v>177.94377136230469</v>
      </c>
      <c r="C616" s="27">
        <f t="shared" si="21"/>
        <v>5.1814676091649359</v>
      </c>
      <c r="D616" s="29">
        <f t="shared" si="22"/>
        <v>0</v>
      </c>
    </row>
    <row r="617" spans="1:4" x14ac:dyDescent="0.3">
      <c r="A617" s="26">
        <v>43045</v>
      </c>
      <c r="B617" s="27">
        <v>179.18696594238281</v>
      </c>
      <c r="C617" s="27">
        <f t="shared" si="21"/>
        <v>5.1884297631990091</v>
      </c>
      <c r="D617" s="29">
        <f t="shared" si="22"/>
        <v>1.3436644902997674E-3</v>
      </c>
    </row>
    <row r="618" spans="1:4" x14ac:dyDescent="0.3">
      <c r="A618" s="26">
        <v>43046</v>
      </c>
      <c r="B618" s="27">
        <v>179.26652526855469</v>
      </c>
      <c r="C618" s="27">
        <f t="shared" si="21"/>
        <v>5.1888736664078161</v>
      </c>
      <c r="D618" s="29">
        <f t="shared" si="22"/>
        <v>8.5556368509820402E-5</v>
      </c>
    </row>
    <row r="619" spans="1:4" x14ac:dyDescent="0.3">
      <c r="A619" s="26">
        <v>43047</v>
      </c>
      <c r="B619" s="27">
        <v>178.5802917480469</v>
      </c>
      <c r="C619" s="27">
        <f t="shared" si="21"/>
        <v>5.1850383137983806</v>
      </c>
      <c r="D619" s="29">
        <f t="shared" si="22"/>
        <v>-7.3914935225061207E-4</v>
      </c>
    </row>
    <row r="620" spans="1:4" x14ac:dyDescent="0.3">
      <c r="A620" s="26">
        <v>43048</v>
      </c>
      <c r="B620" s="27">
        <v>178.32171630859381</v>
      </c>
      <c r="C620" s="27">
        <f t="shared" si="21"/>
        <v>5.1835893139112512</v>
      </c>
      <c r="D620" s="29">
        <f t="shared" si="22"/>
        <v>-2.7945789393168941E-4</v>
      </c>
    </row>
    <row r="621" spans="1:4" x14ac:dyDescent="0.3">
      <c r="A621" s="26">
        <v>43049</v>
      </c>
      <c r="B621" s="27">
        <v>177.4862976074219</v>
      </c>
      <c r="C621" s="27">
        <f t="shared" si="21"/>
        <v>5.1788934093577561</v>
      </c>
      <c r="D621" s="29">
        <f t="shared" si="22"/>
        <v>-9.0591755425006859E-4</v>
      </c>
    </row>
    <row r="622" spans="1:4" x14ac:dyDescent="0.3">
      <c r="A622" s="26">
        <v>43052</v>
      </c>
      <c r="B622" s="27">
        <v>177.79460144042969</v>
      </c>
      <c r="C622" s="27">
        <f t="shared" si="21"/>
        <v>5.1806289595166408</v>
      </c>
      <c r="D622" s="29">
        <f t="shared" si="22"/>
        <v>3.35119884056434E-4</v>
      </c>
    </row>
    <row r="623" spans="1:4" x14ac:dyDescent="0.3">
      <c r="A623" s="26">
        <v>43053</v>
      </c>
      <c r="B623" s="27">
        <v>177.09843444824219</v>
      </c>
      <c r="C623" s="27">
        <f t="shared" si="21"/>
        <v>5.1767057048188416</v>
      </c>
      <c r="D623" s="29">
        <f t="shared" si="22"/>
        <v>-7.5729312569128293E-4</v>
      </c>
    </row>
    <row r="624" spans="1:4" x14ac:dyDescent="0.3">
      <c r="A624" s="26">
        <v>43054</v>
      </c>
      <c r="B624" s="27">
        <v>176.97908020019531</v>
      </c>
      <c r="C624" s="27">
        <f t="shared" si="21"/>
        <v>5.176031534629379</v>
      </c>
      <c r="D624" s="29">
        <f t="shared" si="22"/>
        <v>-1.3023150781688031E-4</v>
      </c>
    </row>
    <row r="625" spans="1:4" x14ac:dyDescent="0.3">
      <c r="A625" s="26">
        <v>43055</v>
      </c>
      <c r="B625" s="27">
        <v>178.61012268066409</v>
      </c>
      <c r="C625" s="27">
        <f t="shared" si="21"/>
        <v>5.1852053447795123</v>
      </c>
      <c r="D625" s="29">
        <f t="shared" si="22"/>
        <v>1.7723636513335972E-3</v>
      </c>
    </row>
    <row r="626" spans="1:4" x14ac:dyDescent="0.3">
      <c r="A626" s="26">
        <v>43056</v>
      </c>
      <c r="B626" s="27">
        <v>178.02336120605469</v>
      </c>
      <c r="C626" s="27">
        <f t="shared" si="21"/>
        <v>5.1819147844111555</v>
      </c>
      <c r="D626" s="29">
        <f t="shared" si="22"/>
        <v>-6.3460560374328789E-4</v>
      </c>
    </row>
    <row r="627" spans="1:4" x14ac:dyDescent="0.3">
      <c r="A627" s="26">
        <v>43059</v>
      </c>
      <c r="B627" s="27">
        <v>177.76478576660159</v>
      </c>
      <c r="C627" s="27">
        <f t="shared" si="21"/>
        <v>5.1804612481583092</v>
      </c>
      <c r="D627" s="29">
        <f t="shared" si="22"/>
        <v>-2.805017668794374E-4</v>
      </c>
    </row>
    <row r="628" spans="1:4" x14ac:dyDescent="0.3">
      <c r="A628" s="26">
        <v>43060</v>
      </c>
      <c r="B628" s="27">
        <v>180.86775207519531</v>
      </c>
      <c r="C628" s="27">
        <f t="shared" si="21"/>
        <v>5.1977661126916557</v>
      </c>
      <c r="D628" s="29">
        <f t="shared" si="22"/>
        <v>3.3404099952487609E-3</v>
      </c>
    </row>
    <row r="629" spans="1:4" x14ac:dyDescent="0.3">
      <c r="A629" s="26">
        <v>43061</v>
      </c>
      <c r="B629" s="27">
        <v>179.8831481933594</v>
      </c>
      <c r="C629" s="27">
        <f t="shared" si="21"/>
        <v>5.1923074633802164</v>
      </c>
      <c r="D629" s="29">
        <f t="shared" si="22"/>
        <v>-1.0501914078262509E-3</v>
      </c>
    </row>
    <row r="630" spans="1:4" x14ac:dyDescent="0.3">
      <c r="A630" s="26">
        <v>43063</v>
      </c>
      <c r="B630" s="27">
        <v>181.78273010253909</v>
      </c>
      <c r="C630" s="27">
        <f t="shared" si="21"/>
        <v>5.2028121832957401</v>
      </c>
      <c r="D630" s="29">
        <f t="shared" si="22"/>
        <v>2.0231313321890099E-3</v>
      </c>
    </row>
    <row r="631" spans="1:4" x14ac:dyDescent="0.3">
      <c r="A631" s="26">
        <v>43066</v>
      </c>
      <c r="B631" s="27">
        <v>182.0313720703125</v>
      </c>
      <c r="C631" s="27">
        <f t="shared" si="21"/>
        <v>5.2041790462348079</v>
      </c>
      <c r="D631" s="29">
        <f t="shared" si="22"/>
        <v>2.627161794261923E-4</v>
      </c>
    </row>
    <row r="632" spans="1:4" x14ac:dyDescent="0.3">
      <c r="A632" s="26">
        <v>43067</v>
      </c>
      <c r="B632" s="27">
        <v>181.42466735839841</v>
      </c>
      <c r="C632" s="27">
        <f t="shared" si="21"/>
        <v>5.2008405116687806</v>
      </c>
      <c r="D632" s="29">
        <f t="shared" si="22"/>
        <v>-6.4151032014214682E-4</v>
      </c>
    </row>
    <row r="633" spans="1:4" x14ac:dyDescent="0.3">
      <c r="A633" s="26">
        <v>43068</v>
      </c>
      <c r="B633" s="27">
        <v>174.17448425292969</v>
      </c>
      <c r="C633" s="27">
        <f t="shared" si="21"/>
        <v>5.1600575798262796</v>
      </c>
      <c r="D633" s="29">
        <f t="shared" si="22"/>
        <v>-7.8416040159275946E-3</v>
      </c>
    </row>
    <row r="634" spans="1:4" x14ac:dyDescent="0.3">
      <c r="A634" s="26">
        <v>43069</v>
      </c>
      <c r="B634" s="27">
        <v>176.21327209472659</v>
      </c>
      <c r="C634" s="27">
        <f t="shared" si="21"/>
        <v>5.1716950346990025</v>
      </c>
      <c r="D634" s="29">
        <f t="shared" si="22"/>
        <v>2.2552955451933254E-3</v>
      </c>
    </row>
    <row r="635" spans="1:4" x14ac:dyDescent="0.3">
      <c r="A635" s="26">
        <v>43070</v>
      </c>
      <c r="B635" s="27">
        <v>174.14463806152341</v>
      </c>
      <c r="C635" s="27">
        <f t="shared" si="21"/>
        <v>5.1598862071420522</v>
      </c>
      <c r="D635" s="29">
        <f t="shared" si="22"/>
        <v>-2.2833572895771814E-3</v>
      </c>
    </row>
    <row r="636" spans="1:4" x14ac:dyDescent="0.3">
      <c r="A636" s="26">
        <v>43073</v>
      </c>
      <c r="B636" s="27">
        <v>170.53443908691409</v>
      </c>
      <c r="C636" s="27">
        <f t="shared" si="21"/>
        <v>5.1389372651061391</v>
      </c>
      <c r="D636" s="29">
        <f t="shared" si="22"/>
        <v>-4.0599620214331056E-3</v>
      </c>
    </row>
    <row r="637" spans="1:4" x14ac:dyDescent="0.3">
      <c r="A637" s="26">
        <v>43074</v>
      </c>
      <c r="B637" s="27">
        <v>171.88702392578119</v>
      </c>
      <c r="C637" s="27">
        <f t="shared" si="21"/>
        <v>5.1468374233602949</v>
      </c>
      <c r="D637" s="29">
        <f t="shared" si="22"/>
        <v>1.5373136208138849E-3</v>
      </c>
    </row>
    <row r="638" spans="1:4" x14ac:dyDescent="0.3">
      <c r="A638" s="26">
        <v>43075</v>
      </c>
      <c r="B638" s="27">
        <v>175.0993957519531</v>
      </c>
      <c r="C638" s="27">
        <f t="shared" si="21"/>
        <v>5.1653537884117977</v>
      </c>
      <c r="D638" s="29">
        <f t="shared" si="22"/>
        <v>3.5976199612330895E-3</v>
      </c>
    </row>
    <row r="639" spans="1:4" x14ac:dyDescent="0.3">
      <c r="A639" s="26">
        <v>43076</v>
      </c>
      <c r="B639" s="27">
        <v>179.1571350097656</v>
      </c>
      <c r="C639" s="27">
        <f t="shared" si="21"/>
        <v>5.1882632699730467</v>
      </c>
      <c r="D639" s="29">
        <f t="shared" si="22"/>
        <v>4.4352202191155765E-3</v>
      </c>
    </row>
    <row r="640" spans="1:4" x14ac:dyDescent="0.3">
      <c r="A640" s="26">
        <v>43077</v>
      </c>
      <c r="B640" s="27">
        <v>178.02336120605469</v>
      </c>
      <c r="C640" s="27">
        <f t="shared" si="21"/>
        <v>5.1819147844111555</v>
      </c>
      <c r="D640" s="29">
        <f t="shared" si="22"/>
        <v>-1.2236244059997681E-3</v>
      </c>
    </row>
    <row r="641" spans="1:4" x14ac:dyDescent="0.3">
      <c r="A641" s="26">
        <v>43080</v>
      </c>
      <c r="B641" s="27">
        <v>178.0631408691406</v>
      </c>
      <c r="C641" s="27">
        <f t="shared" si="21"/>
        <v>5.1821382113763432</v>
      </c>
      <c r="D641" s="29">
        <f t="shared" si="22"/>
        <v>4.3116680702670607E-5</v>
      </c>
    </row>
    <row r="642" spans="1:4" x14ac:dyDescent="0.3">
      <c r="A642" s="26">
        <v>43081</v>
      </c>
      <c r="B642" s="27">
        <v>175.9944763183594</v>
      </c>
      <c r="C642" s="27">
        <f t="shared" si="21"/>
        <v>5.1704526099908703</v>
      </c>
      <c r="D642" s="29">
        <f t="shared" si="22"/>
        <v>-2.2549767892757755E-3</v>
      </c>
    </row>
    <row r="643" spans="1:4" x14ac:dyDescent="0.3">
      <c r="A643" s="26">
        <v>43082</v>
      </c>
      <c r="B643" s="27">
        <v>177.3271789550781</v>
      </c>
      <c r="C643" s="27">
        <f t="shared" ref="C643:C706" si="23">LN(B643)</f>
        <v>5.1779964949307606</v>
      </c>
      <c r="D643" s="29">
        <f t="shared" si="22"/>
        <v>1.4590376334391308E-3</v>
      </c>
    </row>
    <row r="644" spans="1:4" x14ac:dyDescent="0.3">
      <c r="A644" s="26">
        <v>43083</v>
      </c>
      <c r="B644" s="27">
        <v>177.41668701171881</v>
      </c>
      <c r="C644" s="27">
        <f t="shared" si="23"/>
        <v>5.1785011297793222</v>
      </c>
      <c r="D644" s="29">
        <f t="shared" ref="D644:D707" si="24">C644/C643-1</f>
        <v>9.7457549277146782E-5</v>
      </c>
    </row>
    <row r="645" spans="1:4" x14ac:dyDescent="0.3">
      <c r="A645" s="26">
        <v>43084</v>
      </c>
      <c r="B645" s="27">
        <v>179.1968994140625</v>
      </c>
      <c r="C645" s="27">
        <f t="shared" si="23"/>
        <v>5.1884851980142592</v>
      </c>
      <c r="D645" s="29">
        <f t="shared" si="24"/>
        <v>1.927984176255837E-3</v>
      </c>
    </row>
    <row r="646" spans="1:4" x14ac:dyDescent="0.3">
      <c r="A646" s="26">
        <v>43087</v>
      </c>
      <c r="B646" s="27">
        <v>179.83345031738281</v>
      </c>
      <c r="C646" s="27">
        <f t="shared" si="23"/>
        <v>5.1920311465435818</v>
      </c>
      <c r="D646" s="29">
        <f t="shared" si="24"/>
        <v>6.834265482109636E-4</v>
      </c>
    </row>
    <row r="647" spans="1:4" x14ac:dyDescent="0.3">
      <c r="A647" s="26">
        <v>43088</v>
      </c>
      <c r="B647" s="27">
        <v>178.53056335449219</v>
      </c>
      <c r="C647" s="27">
        <f t="shared" si="23"/>
        <v>5.1847598098371277</v>
      </c>
      <c r="D647" s="29">
        <f t="shared" si="24"/>
        <v>-1.400480178416208E-3</v>
      </c>
    </row>
    <row r="648" spans="1:4" x14ac:dyDescent="0.3">
      <c r="A648" s="26">
        <v>43089</v>
      </c>
      <c r="B648" s="27">
        <v>176.9194030761719</v>
      </c>
      <c r="C648" s="27">
        <f t="shared" si="23"/>
        <v>5.175694279018467</v>
      </c>
      <c r="D648" s="29">
        <f t="shared" si="24"/>
        <v>-1.748495812951778E-3</v>
      </c>
    </row>
    <row r="649" spans="1:4" x14ac:dyDescent="0.3">
      <c r="A649" s="26">
        <v>43090</v>
      </c>
      <c r="B649" s="27">
        <v>176.48182678222659</v>
      </c>
      <c r="C649" s="27">
        <f t="shared" si="23"/>
        <v>5.1732179066655046</v>
      </c>
      <c r="D649" s="29">
        <f t="shared" si="24"/>
        <v>-4.7846186800504231E-4</v>
      </c>
    </row>
    <row r="650" spans="1:4" x14ac:dyDescent="0.3">
      <c r="A650" s="26">
        <v>43091</v>
      </c>
      <c r="B650" s="27">
        <v>176.23316955566409</v>
      </c>
      <c r="C650" s="27">
        <f t="shared" si="23"/>
        <v>5.1718079452499808</v>
      </c>
      <c r="D650" s="29">
        <f t="shared" si="24"/>
        <v>-2.7255016915239683E-4</v>
      </c>
    </row>
    <row r="651" spans="1:4" x14ac:dyDescent="0.3">
      <c r="A651" s="26">
        <v>43095</v>
      </c>
      <c r="B651" s="27">
        <v>175.02978515625</v>
      </c>
      <c r="C651" s="27">
        <f t="shared" si="23"/>
        <v>5.1649561603338423</v>
      </c>
      <c r="D651" s="29">
        <f t="shared" si="24"/>
        <v>-1.3248335956541624E-3</v>
      </c>
    </row>
    <row r="652" spans="1:4" x14ac:dyDescent="0.3">
      <c r="A652" s="26">
        <v>43096</v>
      </c>
      <c r="B652" s="27">
        <v>176.65087890625</v>
      </c>
      <c r="C652" s="27">
        <f t="shared" si="23"/>
        <v>5.1741753492031926</v>
      </c>
      <c r="D652" s="29">
        <f t="shared" si="24"/>
        <v>1.7849500718229994E-3</v>
      </c>
    </row>
    <row r="653" spans="1:4" x14ac:dyDescent="0.3">
      <c r="A653" s="26">
        <v>43097</v>
      </c>
      <c r="B653" s="27">
        <v>176.94923400878909</v>
      </c>
      <c r="C653" s="27">
        <f t="shared" si="23"/>
        <v>5.1758628779253018</v>
      </c>
      <c r="D653" s="29">
        <f t="shared" si="24"/>
        <v>3.2614447872725272E-4</v>
      </c>
    </row>
    <row r="654" spans="1:4" x14ac:dyDescent="0.3">
      <c r="A654" s="26">
        <v>43098</v>
      </c>
      <c r="B654" s="27">
        <v>175.4972229003906</v>
      </c>
      <c r="C654" s="27">
        <f t="shared" si="23"/>
        <v>5.1676232188513227</v>
      </c>
      <c r="D654" s="29">
        <f t="shared" si="24"/>
        <v>-1.5919392125167686E-3</v>
      </c>
    </row>
    <row r="655" spans="1:4" x14ac:dyDescent="0.3">
      <c r="A655" s="26">
        <v>43102</v>
      </c>
      <c r="B655" s="27">
        <v>180.4301452636719</v>
      </c>
      <c r="C655" s="27">
        <f t="shared" si="23"/>
        <v>5.1953436960169945</v>
      </c>
      <c r="D655" s="29">
        <f t="shared" si="24"/>
        <v>5.3642605104311514E-3</v>
      </c>
    </row>
    <row r="656" spans="1:4" x14ac:dyDescent="0.3">
      <c r="A656" s="26">
        <v>43103</v>
      </c>
      <c r="B656" s="27">
        <v>183.66241455078119</v>
      </c>
      <c r="C656" s="27">
        <f t="shared" si="23"/>
        <v>5.2130993689506457</v>
      </c>
      <c r="D656" s="29">
        <f t="shared" si="24"/>
        <v>3.4176127649194754E-3</v>
      </c>
    </row>
    <row r="657" spans="1:4" x14ac:dyDescent="0.3">
      <c r="A657" s="26">
        <v>43104</v>
      </c>
      <c r="B657" s="27">
        <v>183.32426452636719</v>
      </c>
      <c r="C657" s="27">
        <f t="shared" si="23"/>
        <v>5.2112565221150975</v>
      </c>
      <c r="D657" s="29">
        <f t="shared" si="24"/>
        <v>-3.5350310921067329E-4</v>
      </c>
    </row>
    <row r="658" spans="1:4" x14ac:dyDescent="0.3">
      <c r="A658" s="26">
        <v>43105</v>
      </c>
      <c r="B658" s="27">
        <v>185.8305358886719</v>
      </c>
      <c r="C658" s="27">
        <f t="shared" si="23"/>
        <v>5.2248351610389854</v>
      </c>
      <c r="D658" s="29">
        <f t="shared" si="24"/>
        <v>2.6056362541861944E-3</v>
      </c>
    </row>
    <row r="659" spans="1:4" x14ac:dyDescent="0.3">
      <c r="A659" s="26">
        <v>43108</v>
      </c>
      <c r="B659" s="27">
        <v>187.2527160644531</v>
      </c>
      <c r="C659" s="27">
        <f t="shared" si="23"/>
        <v>5.2324591273092382</v>
      </c>
      <c r="D659" s="29">
        <f t="shared" si="24"/>
        <v>1.4591783348696374E-3</v>
      </c>
    </row>
    <row r="660" spans="1:4" x14ac:dyDescent="0.3">
      <c r="A660" s="26">
        <v>43109</v>
      </c>
      <c r="B660" s="27">
        <v>186.8449401855469</v>
      </c>
      <c r="C660" s="27">
        <f t="shared" si="23"/>
        <v>5.2302790760119686</v>
      </c>
      <c r="D660" s="29">
        <f t="shared" si="24"/>
        <v>-4.1663990950091545E-4</v>
      </c>
    </row>
    <row r="661" spans="1:4" x14ac:dyDescent="0.3">
      <c r="A661" s="26">
        <v>43110</v>
      </c>
      <c r="B661" s="27">
        <v>186.81510925292969</v>
      </c>
      <c r="C661" s="27">
        <f t="shared" si="23"/>
        <v>5.2301194071754127</v>
      </c>
      <c r="D661" s="29">
        <f t="shared" si="24"/>
        <v>-3.0527785274014896E-5</v>
      </c>
    </row>
    <row r="662" spans="1:4" x14ac:dyDescent="0.3">
      <c r="A662" s="26">
        <v>43111</v>
      </c>
      <c r="B662" s="27">
        <v>186.7455139160156</v>
      </c>
      <c r="C662" s="27">
        <f t="shared" si="23"/>
        <v>5.2297468018556721</v>
      </c>
      <c r="D662" s="29">
        <f t="shared" si="24"/>
        <v>-7.1242220441303239E-5</v>
      </c>
    </row>
    <row r="663" spans="1:4" x14ac:dyDescent="0.3">
      <c r="A663" s="26">
        <v>43112</v>
      </c>
      <c r="B663" s="27">
        <v>178.39131164550781</v>
      </c>
      <c r="C663" s="27">
        <f t="shared" si="23"/>
        <v>5.1839795174213172</v>
      </c>
      <c r="D663" s="29">
        <f t="shared" si="24"/>
        <v>-8.7513384812655248E-3</v>
      </c>
    </row>
    <row r="664" spans="1:4" x14ac:dyDescent="0.3">
      <c r="A664" s="26">
        <v>43116</v>
      </c>
      <c r="B664" s="27">
        <v>177.41668701171881</v>
      </c>
      <c r="C664" s="27">
        <f t="shared" si="23"/>
        <v>5.1785011297793222</v>
      </c>
      <c r="D664" s="29">
        <f t="shared" si="24"/>
        <v>-1.0567919150884508E-3</v>
      </c>
    </row>
    <row r="665" spans="1:4" x14ac:dyDescent="0.3">
      <c r="A665" s="26">
        <v>43117</v>
      </c>
      <c r="B665" s="27">
        <v>176.63099670410159</v>
      </c>
      <c r="C665" s="27">
        <f t="shared" si="23"/>
        <v>5.1740627920439275</v>
      </c>
      <c r="D665" s="29">
        <f t="shared" si="24"/>
        <v>-8.5706995599010849E-4</v>
      </c>
    </row>
    <row r="666" spans="1:4" x14ac:dyDescent="0.3">
      <c r="A666" s="26">
        <v>43118</v>
      </c>
      <c r="B666" s="27">
        <v>178.8190002441406</v>
      </c>
      <c r="C666" s="27">
        <f t="shared" si="23"/>
        <v>5.1863741224411939</v>
      </c>
      <c r="D666" s="29">
        <f t="shared" si="24"/>
        <v>2.37943196518553E-3</v>
      </c>
    </row>
    <row r="667" spans="1:4" x14ac:dyDescent="0.3">
      <c r="A667" s="26">
        <v>43119</v>
      </c>
      <c r="B667" s="27">
        <v>180.30082702636719</v>
      </c>
      <c r="C667" s="27">
        <f t="shared" si="23"/>
        <v>5.1946267171447706</v>
      </c>
      <c r="D667" s="29">
        <f t="shared" si="24"/>
        <v>1.5912069798180717E-3</v>
      </c>
    </row>
    <row r="668" spans="1:4" x14ac:dyDescent="0.3">
      <c r="A668" s="26">
        <v>43122</v>
      </c>
      <c r="B668" s="27">
        <v>184.35859680175781</v>
      </c>
      <c r="C668" s="27">
        <f t="shared" si="23"/>
        <v>5.2168827566373901</v>
      </c>
      <c r="D668" s="29">
        <f t="shared" si="24"/>
        <v>4.284434802440007E-3</v>
      </c>
    </row>
    <row r="669" spans="1:4" x14ac:dyDescent="0.3">
      <c r="A669" s="26">
        <v>43123</v>
      </c>
      <c r="B669" s="27">
        <v>188.31687927246091</v>
      </c>
      <c r="C669" s="27">
        <f t="shared" si="23"/>
        <v>5.2381260719667413</v>
      </c>
      <c r="D669" s="29">
        <f t="shared" si="24"/>
        <v>4.0720323458147689E-3</v>
      </c>
    </row>
    <row r="670" spans="1:4" x14ac:dyDescent="0.3">
      <c r="A670" s="26">
        <v>43124</v>
      </c>
      <c r="B670" s="27">
        <v>185.53216552734381</v>
      </c>
      <c r="C670" s="27">
        <f t="shared" si="23"/>
        <v>5.2232282660848481</v>
      </c>
      <c r="D670" s="29">
        <f t="shared" si="24"/>
        <v>-2.8441098356953853E-3</v>
      </c>
    </row>
    <row r="671" spans="1:4" x14ac:dyDescent="0.3">
      <c r="A671" s="26">
        <v>43125</v>
      </c>
      <c r="B671" s="27">
        <v>186.45709228515619</v>
      </c>
      <c r="C671" s="27">
        <f t="shared" si="23"/>
        <v>5.228201144438021</v>
      </c>
      <c r="D671" s="29">
        <f t="shared" si="24"/>
        <v>9.5206988855189856E-4</v>
      </c>
    </row>
    <row r="672" spans="1:4" x14ac:dyDescent="0.3">
      <c r="A672" s="26">
        <v>43126</v>
      </c>
      <c r="B672" s="27">
        <v>188.96333312988281</v>
      </c>
      <c r="C672" s="27">
        <f t="shared" si="23"/>
        <v>5.2415529916345207</v>
      </c>
      <c r="D672" s="29">
        <f t="shared" si="24"/>
        <v>2.5538128368882695E-3</v>
      </c>
    </row>
    <row r="673" spans="1:4" x14ac:dyDescent="0.3">
      <c r="A673" s="26">
        <v>43129</v>
      </c>
      <c r="B673" s="27">
        <v>184.96527099609381</v>
      </c>
      <c r="C673" s="27">
        <f t="shared" si="23"/>
        <v>5.2201680831104653</v>
      </c>
      <c r="D673" s="29">
        <f t="shared" si="24"/>
        <v>-4.0798802488852814E-3</v>
      </c>
    </row>
    <row r="674" spans="1:4" x14ac:dyDescent="0.3">
      <c r="A674" s="26">
        <v>43130</v>
      </c>
      <c r="B674" s="27">
        <v>186.09906005859381</v>
      </c>
      <c r="C674" s="27">
        <f t="shared" si="23"/>
        <v>5.2262791129024775</v>
      </c>
      <c r="D674" s="29">
        <f t="shared" si="24"/>
        <v>1.1706576674770375E-3</v>
      </c>
    </row>
    <row r="675" spans="1:4" x14ac:dyDescent="0.3">
      <c r="A675" s="26">
        <v>43131</v>
      </c>
      <c r="B675" s="27">
        <v>185.87030029296881</v>
      </c>
      <c r="C675" s="27">
        <f t="shared" si="23"/>
        <v>5.2250491202264717</v>
      </c>
      <c r="D675" s="29">
        <f t="shared" si="24"/>
        <v>-2.3534768224853231E-4</v>
      </c>
    </row>
    <row r="676" spans="1:4" x14ac:dyDescent="0.3">
      <c r="A676" s="26">
        <v>43132</v>
      </c>
      <c r="B676" s="27">
        <v>192.0364685058594</v>
      </c>
      <c r="C676" s="27">
        <f t="shared" si="23"/>
        <v>5.2576852941261221</v>
      </c>
      <c r="D676" s="29">
        <f t="shared" si="24"/>
        <v>6.2460989645654053E-3</v>
      </c>
    </row>
    <row r="677" spans="1:4" x14ac:dyDescent="0.3">
      <c r="A677" s="26">
        <v>43133</v>
      </c>
      <c r="B677" s="27">
        <v>189.2417907714844</v>
      </c>
      <c r="C677" s="27">
        <f t="shared" si="23"/>
        <v>5.2430255136831097</v>
      </c>
      <c r="D677" s="29">
        <f t="shared" si="24"/>
        <v>-2.7882574979126717E-3</v>
      </c>
    </row>
    <row r="678" spans="1:4" x14ac:dyDescent="0.3">
      <c r="A678" s="26">
        <v>43136</v>
      </c>
      <c r="B678" s="27">
        <v>180.27101135253909</v>
      </c>
      <c r="C678" s="27">
        <f t="shared" si="23"/>
        <v>5.1944613372081117</v>
      </c>
      <c r="D678" s="29">
        <f t="shared" si="24"/>
        <v>-9.2626244805135149E-3</v>
      </c>
    </row>
    <row r="679" spans="1:4" x14ac:dyDescent="0.3">
      <c r="A679" s="26">
        <v>43137</v>
      </c>
      <c r="B679" s="27">
        <v>184.2989196777344</v>
      </c>
      <c r="C679" s="27">
        <f t="shared" si="23"/>
        <v>5.2165590028991531</v>
      </c>
      <c r="D679" s="29">
        <f t="shared" si="24"/>
        <v>4.2540822342358453E-3</v>
      </c>
    </row>
    <row r="680" spans="1:4" x14ac:dyDescent="0.3">
      <c r="A680" s="26">
        <v>43138</v>
      </c>
      <c r="B680" s="27">
        <v>179.1968994140625</v>
      </c>
      <c r="C680" s="27">
        <f t="shared" si="23"/>
        <v>5.1884851980142592</v>
      </c>
      <c r="D680" s="29">
        <f t="shared" si="24"/>
        <v>-5.3816711110314941E-3</v>
      </c>
    </row>
    <row r="681" spans="1:4" x14ac:dyDescent="0.3">
      <c r="A681" s="26">
        <v>43139</v>
      </c>
      <c r="B681" s="27">
        <v>170.6438293457031</v>
      </c>
      <c r="C681" s="27">
        <f t="shared" si="23"/>
        <v>5.1395785149901956</v>
      </c>
      <c r="D681" s="29">
        <f t="shared" si="24"/>
        <v>-9.4260041529619087E-3</v>
      </c>
    </row>
    <row r="682" spans="1:4" x14ac:dyDescent="0.3">
      <c r="A682" s="26">
        <v>43140</v>
      </c>
      <c r="B682" s="27">
        <v>175.14910888671881</v>
      </c>
      <c r="C682" s="27">
        <f t="shared" si="23"/>
        <v>5.1656376619155591</v>
      </c>
      <c r="D682" s="29">
        <f t="shared" si="24"/>
        <v>5.070288711293891E-3</v>
      </c>
    </row>
    <row r="683" spans="1:4" x14ac:dyDescent="0.3">
      <c r="A683" s="26">
        <v>43143</v>
      </c>
      <c r="B683" s="27">
        <v>175.44746398925781</v>
      </c>
      <c r="C683" s="27">
        <f t="shared" si="23"/>
        <v>5.1673396476030602</v>
      </c>
      <c r="D683" s="29">
        <f t="shared" si="24"/>
        <v>3.2948220508166592E-4</v>
      </c>
    </row>
    <row r="684" spans="1:4" x14ac:dyDescent="0.3">
      <c r="A684" s="26">
        <v>43144</v>
      </c>
      <c r="B684" s="27">
        <v>172.20527648925781</v>
      </c>
      <c r="C684" s="27">
        <f t="shared" si="23"/>
        <v>5.1486872331575055</v>
      </c>
      <c r="D684" s="29">
        <f t="shared" si="24"/>
        <v>-3.6096745554953236E-3</v>
      </c>
    </row>
    <row r="685" spans="1:4" x14ac:dyDescent="0.3">
      <c r="A685" s="26">
        <v>43145</v>
      </c>
      <c r="B685" s="27">
        <v>178.54052734375</v>
      </c>
      <c r="C685" s="27">
        <f t="shared" si="23"/>
        <v>5.1848156193916957</v>
      </c>
      <c r="D685" s="29">
        <f t="shared" si="24"/>
        <v>7.0170093070567319E-3</v>
      </c>
    </row>
    <row r="686" spans="1:4" x14ac:dyDescent="0.3">
      <c r="A686" s="26">
        <v>43146</v>
      </c>
      <c r="B686" s="27">
        <v>178.97810363769531</v>
      </c>
      <c r="C686" s="27">
        <f t="shared" si="23"/>
        <v>5.1872634723119191</v>
      </c>
      <c r="D686" s="29">
        <f t="shared" si="24"/>
        <v>4.7211956989712256E-4</v>
      </c>
    </row>
    <row r="687" spans="1:4" x14ac:dyDescent="0.3">
      <c r="A687" s="26">
        <v>43147</v>
      </c>
      <c r="B687" s="27">
        <v>176.39227294921881</v>
      </c>
      <c r="C687" s="27">
        <f t="shared" si="23"/>
        <v>5.1727103384705106</v>
      </c>
      <c r="D687" s="29">
        <f t="shared" si="24"/>
        <v>-2.8055513121877373E-3</v>
      </c>
    </row>
    <row r="688" spans="1:4" x14ac:dyDescent="0.3">
      <c r="A688" s="26">
        <v>43151</v>
      </c>
      <c r="B688" s="27">
        <v>175.04966735839841</v>
      </c>
      <c r="C688" s="27">
        <f t="shared" si="23"/>
        <v>5.1650697471326508</v>
      </c>
      <c r="D688" s="29">
        <f t="shared" si="24"/>
        <v>-1.4770963069467014E-3</v>
      </c>
    </row>
    <row r="689" spans="1:4" x14ac:dyDescent="0.3">
      <c r="A689" s="26">
        <v>43152</v>
      </c>
      <c r="B689" s="27">
        <v>176.9393005371094</v>
      </c>
      <c r="C689" s="27">
        <f t="shared" si="23"/>
        <v>5.175806738939646</v>
      </c>
      <c r="D689" s="29">
        <f t="shared" si="24"/>
        <v>2.0787699552278216E-3</v>
      </c>
    </row>
    <row r="690" spans="1:4" x14ac:dyDescent="0.3">
      <c r="A690" s="26">
        <v>43153</v>
      </c>
      <c r="B690" s="27">
        <v>178.01341247558591</v>
      </c>
      <c r="C690" s="27">
        <f t="shared" si="23"/>
        <v>5.1818588984397795</v>
      </c>
      <c r="D690" s="29">
        <f t="shared" si="24"/>
        <v>1.1693171336171204E-3</v>
      </c>
    </row>
    <row r="691" spans="1:4" x14ac:dyDescent="0.3">
      <c r="A691" s="26">
        <v>43154</v>
      </c>
      <c r="B691" s="27">
        <v>182.28996276855469</v>
      </c>
      <c r="C691" s="27">
        <f t="shared" si="23"/>
        <v>5.2055986213018706</v>
      </c>
      <c r="D691" s="29">
        <f t="shared" si="24"/>
        <v>4.5813140279136189E-3</v>
      </c>
    </row>
    <row r="692" spans="1:4" x14ac:dyDescent="0.3">
      <c r="A692" s="26">
        <v>43157</v>
      </c>
      <c r="B692" s="27">
        <v>183.9209899902344</v>
      </c>
      <c r="C692" s="27">
        <f t="shared" si="23"/>
        <v>5.2145062631624617</v>
      </c>
      <c r="D692" s="29">
        <f t="shared" si="24"/>
        <v>1.7111657099608824E-3</v>
      </c>
    </row>
    <row r="693" spans="1:4" x14ac:dyDescent="0.3">
      <c r="A693" s="26">
        <v>43158</v>
      </c>
      <c r="B693" s="27">
        <v>180.4699401855469</v>
      </c>
      <c r="C693" s="27">
        <f t="shared" si="23"/>
        <v>5.1955642275360541</v>
      </c>
      <c r="D693" s="29">
        <f t="shared" si="24"/>
        <v>-3.6325655144423541E-3</v>
      </c>
    </row>
    <row r="694" spans="1:4" x14ac:dyDescent="0.3">
      <c r="A694" s="26">
        <v>43159</v>
      </c>
      <c r="B694" s="27">
        <v>177.34706115722659</v>
      </c>
      <c r="C694" s="27">
        <f t="shared" si="23"/>
        <v>5.1781086102180902</v>
      </c>
      <c r="D694" s="29">
        <f t="shared" si="24"/>
        <v>-3.3597154329169099E-3</v>
      </c>
    </row>
    <row r="695" spans="1:4" x14ac:dyDescent="0.3">
      <c r="A695" s="26">
        <v>43160</v>
      </c>
      <c r="B695" s="27">
        <v>174.98005676269531</v>
      </c>
      <c r="C695" s="27">
        <f t="shared" si="23"/>
        <v>5.1646720060733982</v>
      </c>
      <c r="D695" s="29">
        <f t="shared" si="24"/>
        <v>-2.5948865031871771E-3</v>
      </c>
    </row>
    <row r="696" spans="1:4" x14ac:dyDescent="0.3">
      <c r="A696" s="26">
        <v>43161</v>
      </c>
      <c r="B696" s="27">
        <v>175.65632629394531</v>
      </c>
      <c r="C696" s="27">
        <f t="shared" si="23"/>
        <v>5.1685293945388935</v>
      </c>
      <c r="D696" s="29">
        <f t="shared" si="24"/>
        <v>7.4687965875841478E-4</v>
      </c>
    </row>
    <row r="697" spans="1:4" x14ac:dyDescent="0.3">
      <c r="A697" s="26">
        <v>43164</v>
      </c>
      <c r="B697" s="27">
        <v>179.41571044921881</v>
      </c>
      <c r="C697" s="27">
        <f t="shared" si="23"/>
        <v>5.1897055179711833</v>
      </c>
      <c r="D697" s="29">
        <f t="shared" si="24"/>
        <v>4.0971274062338026E-3</v>
      </c>
    </row>
    <row r="698" spans="1:4" x14ac:dyDescent="0.3">
      <c r="A698" s="26">
        <v>43165</v>
      </c>
      <c r="B698" s="27">
        <v>178.79908752441409</v>
      </c>
      <c r="C698" s="27">
        <f t="shared" si="23"/>
        <v>5.1862627593953743</v>
      </c>
      <c r="D698" s="29">
        <f t="shared" si="24"/>
        <v>-6.6338226010842494E-4</v>
      </c>
    </row>
    <row r="699" spans="1:4" x14ac:dyDescent="0.3">
      <c r="A699" s="26">
        <v>43166</v>
      </c>
      <c r="B699" s="27">
        <v>182.7076416015625</v>
      </c>
      <c r="C699" s="27">
        <f t="shared" si="23"/>
        <v>5.2078872884620031</v>
      </c>
      <c r="D699" s="29">
        <f t="shared" si="24"/>
        <v>4.1695783784680973E-3</v>
      </c>
    </row>
    <row r="700" spans="1:4" x14ac:dyDescent="0.3">
      <c r="A700" s="26">
        <v>43167</v>
      </c>
      <c r="B700" s="27">
        <v>181.3451232910156</v>
      </c>
      <c r="C700" s="27">
        <f t="shared" si="23"/>
        <v>5.2004019742232277</v>
      </c>
      <c r="D700" s="29">
        <f t="shared" si="24"/>
        <v>-1.4373034253946093E-3</v>
      </c>
    </row>
    <row r="701" spans="1:4" x14ac:dyDescent="0.3">
      <c r="A701" s="26">
        <v>43168</v>
      </c>
      <c r="B701" s="27">
        <v>184.2193603515625</v>
      </c>
      <c r="C701" s="27">
        <f t="shared" si="23"/>
        <v>5.2161272233553992</v>
      </c>
      <c r="D701" s="29">
        <f t="shared" si="24"/>
        <v>3.023852619493006E-3</v>
      </c>
    </row>
    <row r="702" spans="1:4" x14ac:dyDescent="0.3">
      <c r="A702" s="26">
        <v>43171</v>
      </c>
      <c r="B702" s="27">
        <v>183.7519226074219</v>
      </c>
      <c r="C702" s="27">
        <f t="shared" si="23"/>
        <v>5.2135866012078509</v>
      </c>
      <c r="D702" s="29">
        <f t="shared" si="24"/>
        <v>-4.8707058680863557E-4</v>
      </c>
    </row>
    <row r="703" spans="1:4" x14ac:dyDescent="0.3">
      <c r="A703" s="26">
        <v>43172</v>
      </c>
      <c r="B703" s="27">
        <v>180.8876647949219</v>
      </c>
      <c r="C703" s="27">
        <f t="shared" si="23"/>
        <v>5.1978762020991294</v>
      </c>
      <c r="D703" s="29">
        <f t="shared" si="24"/>
        <v>-3.0133572740658199E-3</v>
      </c>
    </row>
    <row r="704" spans="1:4" x14ac:dyDescent="0.3">
      <c r="A704" s="26">
        <v>43173</v>
      </c>
      <c r="B704" s="27">
        <v>183.1850280761719</v>
      </c>
      <c r="C704" s="27">
        <f t="shared" si="23"/>
        <v>5.2104967244253588</v>
      </c>
      <c r="D704" s="29">
        <f t="shared" si="24"/>
        <v>2.4280151807256622E-3</v>
      </c>
    </row>
    <row r="705" spans="1:4" x14ac:dyDescent="0.3">
      <c r="A705" s="26">
        <v>43174</v>
      </c>
      <c r="B705" s="27">
        <v>182.8568420410156</v>
      </c>
      <c r="C705" s="27">
        <f t="shared" si="23"/>
        <v>5.2087035627688003</v>
      </c>
      <c r="D705" s="29">
        <f t="shared" si="24"/>
        <v>-3.4414409055338879E-4</v>
      </c>
    </row>
    <row r="706" spans="1:4" x14ac:dyDescent="0.3">
      <c r="A706" s="26">
        <v>43175</v>
      </c>
      <c r="B706" s="27">
        <v>184.08012390136719</v>
      </c>
      <c r="C706" s="27">
        <f t="shared" si="23"/>
        <v>5.2153711188112339</v>
      </c>
      <c r="D706" s="29">
        <f t="shared" si="24"/>
        <v>1.2800797668910402E-3</v>
      </c>
    </row>
    <row r="707" spans="1:4" x14ac:dyDescent="0.3">
      <c r="A707" s="26">
        <v>43178</v>
      </c>
      <c r="B707" s="27">
        <v>171.61846923828119</v>
      </c>
      <c r="C707" s="27">
        <f t="shared" ref="C707:C770" si="25">LN(B707)</f>
        <v>5.1452738108559259</v>
      </c>
      <c r="D707" s="29">
        <f t="shared" si="24"/>
        <v>-1.3440521557991358E-2</v>
      </c>
    </row>
    <row r="708" spans="1:4" x14ac:dyDescent="0.3">
      <c r="A708" s="26">
        <v>43179</v>
      </c>
      <c r="B708" s="27">
        <v>167.23252868652341</v>
      </c>
      <c r="C708" s="27">
        <f t="shared" si="25"/>
        <v>5.1193852312888364</v>
      </c>
      <c r="D708" s="29">
        <f t="shared" ref="D708:D771" si="26">C708/C707-1</f>
        <v>-5.0315261186815174E-3</v>
      </c>
    </row>
    <row r="709" spans="1:4" x14ac:dyDescent="0.3">
      <c r="A709" s="26">
        <v>43180</v>
      </c>
      <c r="B709" s="27">
        <v>168.4657897949219</v>
      </c>
      <c r="C709" s="27">
        <f t="shared" si="25"/>
        <v>5.1267327012561452</v>
      </c>
      <c r="D709" s="29">
        <f t="shared" si="26"/>
        <v>1.4352250583531401E-3</v>
      </c>
    </row>
    <row r="710" spans="1:4" x14ac:dyDescent="0.3">
      <c r="A710" s="26">
        <v>43181</v>
      </c>
      <c r="B710" s="27">
        <v>163.99034118652341</v>
      </c>
      <c r="C710" s="27">
        <f t="shared" si="25"/>
        <v>5.0998075308856823</v>
      </c>
      <c r="D710" s="29">
        <f t="shared" si="26"/>
        <v>-5.2519161695061545E-3</v>
      </c>
    </row>
    <row r="711" spans="1:4" x14ac:dyDescent="0.3">
      <c r="A711" s="26">
        <v>43182</v>
      </c>
      <c r="B711" s="27">
        <v>158.52033996582031</v>
      </c>
      <c r="C711" s="27">
        <f t="shared" si="25"/>
        <v>5.065882912944085</v>
      </c>
      <c r="D711" s="29">
        <f t="shared" si="26"/>
        <v>-6.6521369161760546E-3</v>
      </c>
    </row>
    <row r="712" spans="1:4" x14ac:dyDescent="0.3">
      <c r="A712" s="26">
        <v>43185</v>
      </c>
      <c r="B712" s="27">
        <v>159.18669128417969</v>
      </c>
      <c r="C712" s="27">
        <f t="shared" si="25"/>
        <v>5.0700776724546373</v>
      </c>
      <c r="D712" s="29">
        <f t="shared" si="26"/>
        <v>8.2804114951695595E-4</v>
      </c>
    </row>
    <row r="713" spans="1:4" x14ac:dyDescent="0.3">
      <c r="A713" s="26">
        <v>43186</v>
      </c>
      <c r="B713" s="27">
        <v>151.38946533203119</v>
      </c>
      <c r="C713" s="27">
        <f t="shared" si="25"/>
        <v>5.0198557568917508</v>
      </c>
      <c r="D713" s="29">
        <f t="shared" si="26"/>
        <v>-9.905551513685551E-3</v>
      </c>
    </row>
    <row r="714" spans="1:4" x14ac:dyDescent="0.3">
      <c r="A714" s="26">
        <v>43187</v>
      </c>
      <c r="B714" s="27">
        <v>152.1950378417969</v>
      </c>
      <c r="C714" s="27">
        <f t="shared" si="25"/>
        <v>5.0251628420169734</v>
      </c>
      <c r="D714" s="29">
        <f t="shared" si="26"/>
        <v>1.0572186497463942E-3</v>
      </c>
    </row>
    <row r="715" spans="1:4" x14ac:dyDescent="0.3">
      <c r="A715" s="26">
        <v>43188</v>
      </c>
      <c r="B715" s="27">
        <v>158.91816711425781</v>
      </c>
      <c r="C715" s="27">
        <f t="shared" si="25"/>
        <v>5.0683893974936423</v>
      </c>
      <c r="D715" s="29">
        <f t="shared" si="26"/>
        <v>8.6020208370638507E-3</v>
      </c>
    </row>
    <row r="716" spans="1:4" x14ac:dyDescent="0.3">
      <c r="A716" s="26">
        <v>43192</v>
      </c>
      <c r="B716" s="27">
        <v>154.54216003417969</v>
      </c>
      <c r="C716" s="27">
        <f t="shared" si="25"/>
        <v>5.0404669395928208</v>
      </c>
      <c r="D716" s="29">
        <f t="shared" si="26"/>
        <v>-5.5091382510249476E-3</v>
      </c>
    </row>
    <row r="717" spans="1:4" x14ac:dyDescent="0.3">
      <c r="A717" s="26">
        <v>43193</v>
      </c>
      <c r="B717" s="27">
        <v>155.25823974609381</v>
      </c>
      <c r="C717" s="27">
        <f t="shared" si="25"/>
        <v>5.0450897934541237</v>
      </c>
      <c r="D717" s="29">
        <f t="shared" si="26"/>
        <v>9.1714793821795482E-4</v>
      </c>
    </row>
    <row r="718" spans="1:4" x14ac:dyDescent="0.3">
      <c r="A718" s="26">
        <v>43194</v>
      </c>
      <c r="B718" s="27">
        <v>154.2537536621094</v>
      </c>
      <c r="C718" s="27">
        <f t="shared" si="25"/>
        <v>5.038598997413942</v>
      </c>
      <c r="D718" s="29">
        <f t="shared" si="26"/>
        <v>-1.2865570893512146E-3</v>
      </c>
    </row>
    <row r="719" spans="1:4" x14ac:dyDescent="0.3">
      <c r="A719" s="26">
        <v>43195</v>
      </c>
      <c r="B719" s="27">
        <v>158.47062683105469</v>
      </c>
      <c r="C719" s="27">
        <f t="shared" si="25"/>
        <v>5.0655692564656336</v>
      </c>
      <c r="D719" s="29">
        <f t="shared" si="26"/>
        <v>5.3527298095232823E-3</v>
      </c>
    </row>
    <row r="720" spans="1:4" x14ac:dyDescent="0.3">
      <c r="A720" s="26">
        <v>43196</v>
      </c>
      <c r="B720" s="27">
        <v>156.34228515625</v>
      </c>
      <c r="C720" s="27">
        <f t="shared" si="25"/>
        <v>5.0520477392662126</v>
      </c>
      <c r="D720" s="29">
        <f t="shared" si="26"/>
        <v>-2.6692986542751207E-3</v>
      </c>
    </row>
    <row r="721" spans="1:4" x14ac:dyDescent="0.3">
      <c r="A721" s="26">
        <v>43199</v>
      </c>
      <c r="B721" s="27">
        <v>157.06829833984381</v>
      </c>
      <c r="C721" s="27">
        <f t="shared" si="25"/>
        <v>5.0566807320268774</v>
      </c>
      <c r="D721" s="29">
        <f t="shared" si="26"/>
        <v>9.1705245076290076E-4</v>
      </c>
    </row>
    <row r="722" spans="1:4" x14ac:dyDescent="0.3">
      <c r="A722" s="26">
        <v>43200</v>
      </c>
      <c r="B722" s="27">
        <v>164.13951110839841</v>
      </c>
      <c r="C722" s="27">
        <f t="shared" si="25"/>
        <v>5.100716743693404</v>
      </c>
      <c r="D722" s="29">
        <f t="shared" si="26"/>
        <v>8.7084817096758638E-3</v>
      </c>
    </row>
    <row r="723" spans="1:4" x14ac:dyDescent="0.3">
      <c r="A723" s="26">
        <v>43201</v>
      </c>
      <c r="B723" s="27">
        <v>165.41255187988281</v>
      </c>
      <c r="C723" s="27">
        <f t="shared" si="25"/>
        <v>5.1084426677385526</v>
      </c>
      <c r="D723" s="29">
        <f t="shared" si="26"/>
        <v>1.5146741984253254E-3</v>
      </c>
    </row>
    <row r="724" spans="1:4" x14ac:dyDescent="0.3">
      <c r="A724" s="26">
        <v>43202</v>
      </c>
      <c r="B724" s="27">
        <v>162.97589111328119</v>
      </c>
      <c r="C724" s="27">
        <f t="shared" si="25"/>
        <v>5.0936022825869181</v>
      </c>
      <c r="D724" s="29">
        <f t="shared" si="26"/>
        <v>-2.9050703153342683E-3</v>
      </c>
    </row>
    <row r="725" spans="1:4" x14ac:dyDescent="0.3">
      <c r="A725" s="26">
        <v>43203</v>
      </c>
      <c r="B725" s="27">
        <v>163.62232971191409</v>
      </c>
      <c r="C725" s="27">
        <f t="shared" si="25"/>
        <v>5.0975609045364036</v>
      </c>
      <c r="D725" s="29">
        <f t="shared" si="26"/>
        <v>7.7717531323928668E-4</v>
      </c>
    </row>
    <row r="726" spans="1:4" x14ac:dyDescent="0.3">
      <c r="A726" s="26">
        <v>43206</v>
      </c>
      <c r="B726" s="27">
        <v>163.9306640625</v>
      </c>
      <c r="C726" s="27">
        <f t="shared" si="25"/>
        <v>5.0994435583207842</v>
      </c>
      <c r="D726" s="29">
        <f t="shared" si="26"/>
        <v>3.693244317504174E-4</v>
      </c>
    </row>
    <row r="727" spans="1:4" x14ac:dyDescent="0.3">
      <c r="A727" s="26">
        <v>43207</v>
      </c>
      <c r="B727" s="27">
        <v>167.73976135253909</v>
      </c>
      <c r="C727" s="27">
        <f t="shared" si="25"/>
        <v>5.1224137388328206</v>
      </c>
      <c r="D727" s="29">
        <f t="shared" si="26"/>
        <v>4.5044484264475937E-3</v>
      </c>
    </row>
    <row r="728" spans="1:4" x14ac:dyDescent="0.3">
      <c r="A728" s="26">
        <v>43208</v>
      </c>
      <c r="B728" s="27">
        <v>165.45231628417969</v>
      </c>
      <c r="C728" s="27">
        <f t="shared" si="25"/>
        <v>5.1086830341740033</v>
      </c>
      <c r="D728" s="29">
        <f t="shared" si="26"/>
        <v>-2.6805145696696675E-3</v>
      </c>
    </row>
    <row r="729" spans="1:4" x14ac:dyDescent="0.3">
      <c r="A729" s="26">
        <v>43209</v>
      </c>
      <c r="B729" s="27">
        <v>167.1828308105469</v>
      </c>
      <c r="C729" s="27">
        <f t="shared" si="25"/>
        <v>5.1190880088381867</v>
      </c>
      <c r="D729" s="29">
        <f t="shared" si="26"/>
        <v>2.0367234754201657E-3</v>
      </c>
    </row>
    <row r="730" spans="1:4" x14ac:dyDescent="0.3">
      <c r="A730" s="26">
        <v>43210</v>
      </c>
      <c r="B730" s="27">
        <v>165.37275695800781</v>
      </c>
      <c r="C730" s="27">
        <f t="shared" si="25"/>
        <v>5.1082020589750812</v>
      </c>
      <c r="D730" s="29">
        <f t="shared" si="26"/>
        <v>-2.1265408690592791E-3</v>
      </c>
    </row>
    <row r="731" spans="1:4" x14ac:dyDescent="0.3">
      <c r="A731" s="26">
        <v>43213</v>
      </c>
      <c r="B731" s="27">
        <v>164.93516540527341</v>
      </c>
      <c r="C731" s="27">
        <f t="shared" si="25"/>
        <v>5.1055524597428965</v>
      </c>
      <c r="D731" s="29">
        <f t="shared" si="26"/>
        <v>-5.186950714937133E-4</v>
      </c>
    </row>
    <row r="732" spans="1:4" x14ac:dyDescent="0.3">
      <c r="A732" s="26">
        <v>43214</v>
      </c>
      <c r="B732" s="27">
        <v>158.8187255859375</v>
      </c>
      <c r="C732" s="27">
        <f t="shared" si="25"/>
        <v>5.0677634611680116</v>
      </c>
      <c r="D732" s="29">
        <f t="shared" si="26"/>
        <v>-7.4015493666650389E-3</v>
      </c>
    </row>
    <row r="733" spans="1:4" x14ac:dyDescent="0.3">
      <c r="A733" s="26">
        <v>43215</v>
      </c>
      <c r="B733" s="27">
        <v>158.8187255859375</v>
      </c>
      <c r="C733" s="27">
        <f t="shared" si="25"/>
        <v>5.0677634611680116</v>
      </c>
      <c r="D733" s="29">
        <f t="shared" si="26"/>
        <v>0</v>
      </c>
    </row>
    <row r="734" spans="1:4" x14ac:dyDescent="0.3">
      <c r="A734" s="26">
        <v>43216</v>
      </c>
      <c r="B734" s="27">
        <v>173.20977783203119</v>
      </c>
      <c r="C734" s="27">
        <f t="shared" si="25"/>
        <v>5.1545034485304289</v>
      </c>
      <c r="D734" s="29">
        <f t="shared" si="26"/>
        <v>1.7116029196521554E-2</v>
      </c>
    </row>
    <row r="735" spans="1:4" x14ac:dyDescent="0.3">
      <c r="A735" s="26">
        <v>43217</v>
      </c>
      <c r="B735" s="27">
        <v>172.64283752441409</v>
      </c>
      <c r="C735" s="27">
        <f t="shared" si="25"/>
        <v>5.1512249374522217</v>
      </c>
      <c r="D735" s="29">
        <f t="shared" si="26"/>
        <v>-6.3604789693993968E-4</v>
      </c>
    </row>
    <row r="736" spans="1:4" x14ac:dyDescent="0.3">
      <c r="A736" s="26">
        <v>43220</v>
      </c>
      <c r="B736" s="27">
        <v>171.0615234375</v>
      </c>
      <c r="C736" s="27">
        <f t="shared" si="25"/>
        <v>5.1420232779793409</v>
      </c>
      <c r="D736" s="29">
        <f t="shared" si="26"/>
        <v>-1.7863051186096657E-3</v>
      </c>
    </row>
    <row r="737" spans="1:4" x14ac:dyDescent="0.3">
      <c r="A737" s="26">
        <v>43221</v>
      </c>
      <c r="B737" s="27">
        <v>172.9114074707031</v>
      </c>
      <c r="C737" s="27">
        <f t="shared" si="25"/>
        <v>5.1527793677870051</v>
      </c>
      <c r="D737" s="29">
        <f t="shared" si="26"/>
        <v>2.0918010724935154E-3</v>
      </c>
    </row>
    <row r="738" spans="1:4" x14ac:dyDescent="0.3">
      <c r="A738" s="26">
        <v>43222</v>
      </c>
      <c r="B738" s="27">
        <v>175.1093444824219</v>
      </c>
      <c r="C738" s="27">
        <f t="shared" si="25"/>
        <v>5.1654106044151034</v>
      </c>
      <c r="D738" s="29">
        <f t="shared" si="26"/>
        <v>2.4513443573896954E-3</v>
      </c>
    </row>
    <row r="739" spans="1:4" x14ac:dyDescent="0.3">
      <c r="A739" s="26">
        <v>43223</v>
      </c>
      <c r="B739" s="27">
        <v>173.0705261230469</v>
      </c>
      <c r="C739" s="27">
        <f t="shared" si="25"/>
        <v>5.1536991768759339</v>
      </c>
      <c r="D739" s="29">
        <f t="shared" si="26"/>
        <v>-2.2672791063617082E-3</v>
      </c>
    </row>
    <row r="740" spans="1:4" x14ac:dyDescent="0.3">
      <c r="A740" s="26">
        <v>43224</v>
      </c>
      <c r="B740" s="27">
        <v>175.6463928222656</v>
      </c>
      <c r="C740" s="27">
        <f t="shared" si="25"/>
        <v>5.1684728423339612</v>
      </c>
      <c r="D740" s="29">
        <f t="shared" si="26"/>
        <v>2.8666138536597163E-3</v>
      </c>
    </row>
    <row r="741" spans="1:4" x14ac:dyDescent="0.3">
      <c r="A741" s="26">
        <v>43227</v>
      </c>
      <c r="B741" s="27">
        <v>176.99897766113281</v>
      </c>
      <c r="C741" s="27">
        <f t="shared" si="25"/>
        <v>5.1761439566313454</v>
      </c>
      <c r="D741" s="29">
        <f t="shared" si="26"/>
        <v>1.4842129447893981E-3</v>
      </c>
    </row>
    <row r="742" spans="1:4" x14ac:dyDescent="0.3">
      <c r="A742" s="26">
        <v>43228</v>
      </c>
      <c r="B742" s="27">
        <v>177.94377136230469</v>
      </c>
      <c r="C742" s="27">
        <f t="shared" si="25"/>
        <v>5.1814676091649359</v>
      </c>
      <c r="D742" s="29">
        <f t="shared" si="26"/>
        <v>1.0284977732835099E-3</v>
      </c>
    </row>
    <row r="743" spans="1:4" x14ac:dyDescent="0.3">
      <c r="A743" s="26">
        <v>43229</v>
      </c>
      <c r="B743" s="27">
        <v>181.66339111328119</v>
      </c>
      <c r="C743" s="27">
        <f t="shared" si="25"/>
        <v>5.2021554752634875</v>
      </c>
      <c r="D743" s="29">
        <f t="shared" si="26"/>
        <v>3.9926653332655881E-3</v>
      </c>
    </row>
    <row r="744" spans="1:4" x14ac:dyDescent="0.3">
      <c r="A744" s="26">
        <v>43230</v>
      </c>
      <c r="B744" s="27">
        <v>184.51771545410159</v>
      </c>
      <c r="C744" s="27">
        <f t="shared" si="25"/>
        <v>5.217745477592497</v>
      </c>
      <c r="D744" s="29">
        <f t="shared" si="26"/>
        <v>2.9968351394227266E-3</v>
      </c>
    </row>
    <row r="745" spans="1:4" x14ac:dyDescent="0.3">
      <c r="A745" s="26">
        <v>43231</v>
      </c>
      <c r="B745" s="27">
        <v>185.96974182128909</v>
      </c>
      <c r="C745" s="27">
        <f t="shared" si="25"/>
        <v>5.2255839820994723</v>
      </c>
      <c r="D745" s="29">
        <f t="shared" si="26"/>
        <v>1.5022780510542955E-3</v>
      </c>
    </row>
    <row r="746" spans="1:4" x14ac:dyDescent="0.3">
      <c r="A746" s="26">
        <v>43234</v>
      </c>
      <c r="B746" s="27">
        <v>185.6216735839844</v>
      </c>
      <c r="C746" s="27">
        <f t="shared" si="25"/>
        <v>5.2237105893101177</v>
      </c>
      <c r="D746" s="29">
        <f t="shared" si="26"/>
        <v>-3.5850400563308682E-4</v>
      </c>
    </row>
    <row r="747" spans="1:4" x14ac:dyDescent="0.3">
      <c r="A747" s="26">
        <v>43235</v>
      </c>
      <c r="B747" s="27">
        <v>183.31434631347659</v>
      </c>
      <c r="C747" s="27">
        <f t="shared" si="25"/>
        <v>5.2112024186322685</v>
      </c>
      <c r="D747" s="29">
        <f t="shared" si="26"/>
        <v>-2.394499171421538E-3</v>
      </c>
    </row>
    <row r="748" spans="1:4" x14ac:dyDescent="0.3">
      <c r="A748" s="26">
        <v>43236</v>
      </c>
      <c r="B748" s="27">
        <v>182.20042419433591</v>
      </c>
      <c r="C748" s="27">
        <f t="shared" si="25"/>
        <v>5.2051073130028183</v>
      </c>
      <c r="D748" s="29">
        <f t="shared" si="26"/>
        <v>-1.1696159810752338E-3</v>
      </c>
    </row>
    <row r="749" spans="1:4" x14ac:dyDescent="0.3">
      <c r="A749" s="26">
        <v>43237</v>
      </c>
      <c r="B749" s="27">
        <v>182.7573547363281</v>
      </c>
      <c r="C749" s="27">
        <f t="shared" si="25"/>
        <v>5.2081593426153168</v>
      </c>
      <c r="D749" s="29">
        <f t="shared" si="26"/>
        <v>5.8635287016550741E-4</v>
      </c>
    </row>
    <row r="750" spans="1:4" x14ac:dyDescent="0.3">
      <c r="A750" s="26">
        <v>43238</v>
      </c>
      <c r="B750" s="27">
        <v>181.6832580566406</v>
      </c>
      <c r="C750" s="27">
        <f t="shared" si="25"/>
        <v>5.202264830577068</v>
      </c>
      <c r="D750" s="29">
        <f t="shared" si="26"/>
        <v>-1.1317841199706136E-3</v>
      </c>
    </row>
    <row r="751" spans="1:4" x14ac:dyDescent="0.3">
      <c r="A751" s="26">
        <v>43241</v>
      </c>
      <c r="B751" s="27">
        <v>183.4833984375</v>
      </c>
      <c r="C751" s="27">
        <f t="shared" si="25"/>
        <v>5.2121241916715659</v>
      </c>
      <c r="D751" s="29">
        <f t="shared" si="26"/>
        <v>1.8952055336645124E-3</v>
      </c>
    </row>
    <row r="752" spans="1:4" x14ac:dyDescent="0.3">
      <c r="A752" s="26">
        <v>43242</v>
      </c>
      <c r="B752" s="27">
        <v>182.79718017578119</v>
      </c>
      <c r="C752" s="27">
        <f t="shared" si="25"/>
        <v>5.208377233166833</v>
      </c>
      <c r="D752" s="29">
        <f t="shared" si="26"/>
        <v>-7.1889279052872457E-4</v>
      </c>
    </row>
    <row r="753" spans="1:4" x14ac:dyDescent="0.3">
      <c r="A753" s="26">
        <v>43243</v>
      </c>
      <c r="B753" s="27">
        <v>185.8802490234375</v>
      </c>
      <c r="C753" s="27">
        <f t="shared" si="25"/>
        <v>5.2251026439158883</v>
      </c>
      <c r="D753" s="29">
        <f t="shared" si="26"/>
        <v>3.2112517969220544E-3</v>
      </c>
    </row>
    <row r="754" spans="1:4" x14ac:dyDescent="0.3">
      <c r="A754" s="26">
        <v>43244</v>
      </c>
      <c r="B754" s="27">
        <v>184.91552734375</v>
      </c>
      <c r="C754" s="27">
        <f t="shared" si="25"/>
        <v>5.2198991118480107</v>
      </c>
      <c r="D754" s="29">
        <f t="shared" si="26"/>
        <v>-9.9587174118709321E-4</v>
      </c>
    </row>
    <row r="755" spans="1:4" x14ac:dyDescent="0.3">
      <c r="A755" s="26">
        <v>43245</v>
      </c>
      <c r="B755" s="27">
        <v>183.9110412597656</v>
      </c>
      <c r="C755" s="27">
        <f t="shared" si="25"/>
        <v>5.214452169284681</v>
      </c>
      <c r="D755" s="29">
        <f t="shared" si="26"/>
        <v>-1.0434957547295065E-3</v>
      </c>
    </row>
    <row r="756" spans="1:4" x14ac:dyDescent="0.3">
      <c r="A756" s="26">
        <v>43249</v>
      </c>
      <c r="B756" s="27">
        <v>184.7265625</v>
      </c>
      <c r="C756" s="27">
        <f t="shared" si="25"/>
        <v>5.2188766911583588</v>
      </c>
      <c r="D756" s="29">
        <f t="shared" si="26"/>
        <v>8.4851135460395355E-4</v>
      </c>
    </row>
    <row r="757" spans="1:4" x14ac:dyDescent="0.3">
      <c r="A757" s="26">
        <v>43250</v>
      </c>
      <c r="B757" s="27">
        <v>186.64605712890619</v>
      </c>
      <c r="C757" s="27">
        <f t="shared" si="25"/>
        <v>5.2292140807276448</v>
      </c>
      <c r="D757" s="29">
        <f t="shared" si="26"/>
        <v>1.9807690775295317E-3</v>
      </c>
    </row>
    <row r="758" spans="1:4" x14ac:dyDescent="0.3">
      <c r="A758" s="26">
        <v>43251</v>
      </c>
      <c r="B758" s="27">
        <v>190.73362731933591</v>
      </c>
      <c r="C758" s="27">
        <f t="shared" si="25"/>
        <v>5.2508778332924093</v>
      </c>
      <c r="D758" s="29">
        <f t="shared" si="26"/>
        <v>4.1428314523603849E-3</v>
      </c>
    </row>
    <row r="759" spans="1:4" x14ac:dyDescent="0.3">
      <c r="A759" s="26">
        <v>43252</v>
      </c>
      <c r="B759" s="27">
        <v>192.9315490722656</v>
      </c>
      <c r="C759" s="27">
        <f t="shared" si="25"/>
        <v>5.2623354579759596</v>
      </c>
      <c r="D759" s="29">
        <f t="shared" si="26"/>
        <v>2.1820398507284011E-3</v>
      </c>
    </row>
    <row r="760" spans="1:4" x14ac:dyDescent="0.3">
      <c r="A760" s="26">
        <v>43255</v>
      </c>
      <c r="B760" s="27">
        <v>192.22541809082031</v>
      </c>
      <c r="C760" s="27">
        <f t="shared" si="25"/>
        <v>5.2586687359233979</v>
      </c>
      <c r="D760" s="29">
        <f t="shared" si="26"/>
        <v>-6.9678607185796881E-4</v>
      </c>
    </row>
    <row r="761" spans="1:4" x14ac:dyDescent="0.3">
      <c r="A761" s="26">
        <v>43256</v>
      </c>
      <c r="B761" s="27">
        <v>191.88728332519531</v>
      </c>
      <c r="C761" s="27">
        <f t="shared" si="25"/>
        <v>5.2569081336224484</v>
      </c>
      <c r="D761" s="29">
        <f t="shared" si="26"/>
        <v>-3.3480000155217127E-4</v>
      </c>
    </row>
    <row r="762" spans="1:4" x14ac:dyDescent="0.3">
      <c r="A762" s="26">
        <v>43257</v>
      </c>
      <c r="B762" s="27">
        <v>190.2960205078125</v>
      </c>
      <c r="C762" s="27">
        <f t="shared" si="25"/>
        <v>5.2485808624061656</v>
      </c>
      <c r="D762" s="29">
        <f t="shared" si="26"/>
        <v>-1.5840625334543335E-3</v>
      </c>
    </row>
    <row r="763" spans="1:4" x14ac:dyDescent="0.3">
      <c r="A763" s="26">
        <v>43258</v>
      </c>
      <c r="B763" s="27">
        <v>187.15324401855469</v>
      </c>
      <c r="C763" s="27">
        <f t="shared" si="25"/>
        <v>5.2319277679889069</v>
      </c>
      <c r="D763" s="29">
        <f t="shared" si="26"/>
        <v>-3.1728756503570654E-3</v>
      </c>
    </row>
    <row r="764" spans="1:4" x14ac:dyDescent="0.3">
      <c r="A764" s="26">
        <v>43259</v>
      </c>
      <c r="B764" s="27">
        <v>188.0682678222656</v>
      </c>
      <c r="C764" s="27">
        <f t="shared" si="25"/>
        <v>5.2368050236295787</v>
      </c>
      <c r="D764" s="29">
        <f t="shared" si="26"/>
        <v>9.3221004894461501E-4</v>
      </c>
    </row>
    <row r="765" spans="1:4" x14ac:dyDescent="0.3">
      <c r="A765" s="26">
        <v>43262</v>
      </c>
      <c r="B765" s="27">
        <v>190.49494934082031</v>
      </c>
      <c r="C765" s="27">
        <f t="shared" si="25"/>
        <v>5.249625681568677</v>
      </c>
      <c r="D765" s="29">
        <f t="shared" si="26"/>
        <v>2.4481831729936676E-3</v>
      </c>
    </row>
    <row r="766" spans="1:4" x14ac:dyDescent="0.3">
      <c r="A766" s="26">
        <v>43263</v>
      </c>
      <c r="B766" s="27">
        <v>191.35023498535159</v>
      </c>
      <c r="C766" s="27">
        <f t="shared" si="25"/>
        <v>5.2541054399104219</v>
      </c>
      <c r="D766" s="29">
        <f t="shared" si="26"/>
        <v>8.5334814584459018E-4</v>
      </c>
    </row>
    <row r="767" spans="1:4" x14ac:dyDescent="0.3">
      <c r="A767" s="26">
        <v>43264</v>
      </c>
      <c r="B767" s="27">
        <v>191.36018371582031</v>
      </c>
      <c r="C767" s="27">
        <f t="shared" si="25"/>
        <v>5.2541574308152148</v>
      </c>
      <c r="D767" s="29">
        <f t="shared" si="26"/>
        <v>9.8952914797667546E-6</v>
      </c>
    </row>
    <row r="768" spans="1:4" x14ac:dyDescent="0.3">
      <c r="A768" s="26">
        <v>43265</v>
      </c>
      <c r="B768" s="27">
        <v>195.7361755371094</v>
      </c>
      <c r="C768" s="27">
        <f t="shared" si="25"/>
        <v>5.2767677093226295</v>
      </c>
      <c r="D768" s="29">
        <f t="shared" si="26"/>
        <v>4.3033119591748825E-3</v>
      </c>
    </row>
    <row r="769" spans="1:4" x14ac:dyDescent="0.3">
      <c r="A769" s="26">
        <v>43266</v>
      </c>
      <c r="B769" s="27">
        <v>194.78141784667969</v>
      </c>
      <c r="C769" s="27">
        <f t="shared" si="25"/>
        <v>5.2718779957276283</v>
      </c>
      <c r="D769" s="29">
        <f t="shared" si="26"/>
        <v>-9.2664939302944394E-4</v>
      </c>
    </row>
    <row r="770" spans="1:4" x14ac:dyDescent="0.3">
      <c r="A770" s="26">
        <v>43269</v>
      </c>
      <c r="B770" s="27">
        <v>197.22801208496091</v>
      </c>
      <c r="C770" s="27">
        <f t="shared" si="25"/>
        <v>5.284360481192893</v>
      </c>
      <c r="D770" s="29">
        <f t="shared" si="26"/>
        <v>2.3677493059173216E-3</v>
      </c>
    </row>
    <row r="771" spans="1:4" x14ac:dyDescent="0.3">
      <c r="A771" s="26">
        <v>43270</v>
      </c>
      <c r="B771" s="27">
        <v>196.4124755859375</v>
      </c>
      <c r="C771" s="27">
        <f t="shared" ref="C771:C834" si="27">LN(B771)</f>
        <v>5.2802169152162994</v>
      </c>
      <c r="D771" s="29">
        <f t="shared" si="26"/>
        <v>-7.8411872001171723E-4</v>
      </c>
    </row>
    <row r="772" spans="1:4" x14ac:dyDescent="0.3">
      <c r="A772" s="26">
        <v>43271</v>
      </c>
      <c r="B772" s="27">
        <v>200.89787292480469</v>
      </c>
      <c r="C772" s="27">
        <f t="shared" si="27"/>
        <v>5.3027966840336518</v>
      </c>
      <c r="D772" s="29">
        <f t="shared" ref="D772:D835" si="28">C772/C771-1</f>
        <v>4.2762956863160451E-3</v>
      </c>
    </row>
    <row r="773" spans="1:4" x14ac:dyDescent="0.3">
      <c r="A773" s="26">
        <v>43272</v>
      </c>
      <c r="B773" s="27">
        <v>200.40057373046881</v>
      </c>
      <c r="C773" s="27">
        <f t="shared" si="27"/>
        <v>5.3003182321331028</v>
      </c>
      <c r="D773" s="29">
        <f t="shared" si="28"/>
        <v>-4.6738580568461696E-4</v>
      </c>
    </row>
    <row r="774" spans="1:4" x14ac:dyDescent="0.3">
      <c r="A774" s="26">
        <v>43273</v>
      </c>
      <c r="B774" s="27">
        <v>200.63929748535159</v>
      </c>
      <c r="C774" s="27">
        <f t="shared" si="27"/>
        <v>5.3015087560695644</v>
      </c>
      <c r="D774" s="29">
        <f t="shared" si="28"/>
        <v>2.2461367116477504E-4</v>
      </c>
    </row>
    <row r="775" spans="1:4" x14ac:dyDescent="0.3">
      <c r="A775" s="26">
        <v>43276</v>
      </c>
      <c r="B775" s="27">
        <v>195.2787170410156</v>
      </c>
      <c r="C775" s="27">
        <f t="shared" si="27"/>
        <v>5.2744278562199014</v>
      </c>
      <c r="D775" s="29">
        <f t="shared" si="28"/>
        <v>-5.108149603385792E-3</v>
      </c>
    </row>
    <row r="776" spans="1:4" x14ac:dyDescent="0.3">
      <c r="A776" s="26">
        <v>43277</v>
      </c>
      <c r="B776" s="27">
        <v>197.9142150878906</v>
      </c>
      <c r="C776" s="27">
        <f t="shared" si="27"/>
        <v>5.2878336796796805</v>
      </c>
      <c r="D776" s="29">
        <f t="shared" si="28"/>
        <v>2.541664010812239E-3</v>
      </c>
    </row>
    <row r="777" spans="1:4" x14ac:dyDescent="0.3">
      <c r="A777" s="26">
        <v>43278</v>
      </c>
      <c r="B777" s="27">
        <v>194.77146911621091</v>
      </c>
      <c r="C777" s="27">
        <f t="shared" si="27"/>
        <v>5.2718269180393147</v>
      </c>
      <c r="D777" s="29">
        <f t="shared" si="28"/>
        <v>-3.0270924938273769E-3</v>
      </c>
    </row>
    <row r="778" spans="1:4" x14ac:dyDescent="0.3">
      <c r="A778" s="26">
        <v>43279</v>
      </c>
      <c r="B778" s="27">
        <v>195.1593322753906</v>
      </c>
      <c r="C778" s="27">
        <f t="shared" si="27"/>
        <v>5.2738163135203378</v>
      </c>
      <c r="D778" s="29">
        <f t="shared" si="28"/>
        <v>3.7736358039675011E-4</v>
      </c>
    </row>
    <row r="779" spans="1:4" x14ac:dyDescent="0.3">
      <c r="A779" s="26">
        <v>43280</v>
      </c>
      <c r="B779" s="27">
        <v>193.259765625</v>
      </c>
      <c r="C779" s="27">
        <f t="shared" si="27"/>
        <v>5.2640352198259377</v>
      </c>
      <c r="D779" s="29">
        <f t="shared" si="28"/>
        <v>-1.854651947077568E-3</v>
      </c>
    </row>
    <row r="780" spans="1:4" x14ac:dyDescent="0.3">
      <c r="A780" s="26">
        <v>43283</v>
      </c>
      <c r="B780" s="27">
        <v>196.28318786621091</v>
      </c>
      <c r="C780" s="27">
        <f t="shared" si="27"/>
        <v>5.2795584525113064</v>
      </c>
      <c r="D780" s="29">
        <f t="shared" si="28"/>
        <v>2.9489226490930776E-3</v>
      </c>
    </row>
    <row r="781" spans="1:4" x14ac:dyDescent="0.3">
      <c r="A781" s="26">
        <v>43284</v>
      </c>
      <c r="B781" s="27">
        <v>191.6784362792969</v>
      </c>
      <c r="C781" s="27">
        <f t="shared" si="27"/>
        <v>5.2558191569185206</v>
      </c>
      <c r="D781" s="29">
        <f t="shared" si="28"/>
        <v>-4.4964547331592941E-3</v>
      </c>
    </row>
    <row r="782" spans="1:4" x14ac:dyDescent="0.3">
      <c r="A782" s="26">
        <v>43286</v>
      </c>
      <c r="B782" s="27">
        <v>197.36723327636719</v>
      </c>
      <c r="C782" s="27">
        <f t="shared" si="27"/>
        <v>5.2850661217135011</v>
      </c>
      <c r="D782" s="29">
        <f t="shared" si="28"/>
        <v>5.5646824827451091E-3</v>
      </c>
    </row>
    <row r="783" spans="1:4" x14ac:dyDescent="0.3">
      <c r="A783" s="26">
        <v>43287</v>
      </c>
      <c r="B783" s="27">
        <v>202.12113952636719</v>
      </c>
      <c r="C783" s="27">
        <f t="shared" si="27"/>
        <v>5.3088672182782251</v>
      </c>
      <c r="D783" s="29">
        <f t="shared" si="28"/>
        <v>4.503462400770708E-3</v>
      </c>
    </row>
    <row r="784" spans="1:4" x14ac:dyDescent="0.3">
      <c r="A784" s="26">
        <v>43290</v>
      </c>
      <c r="B784" s="27">
        <v>203.62290954589841</v>
      </c>
      <c r="C784" s="27">
        <f t="shared" si="27"/>
        <v>5.3162698006738012</v>
      </c>
      <c r="D784" s="29">
        <f t="shared" si="28"/>
        <v>1.3943807767671235E-3</v>
      </c>
    </row>
    <row r="785" spans="1:4" x14ac:dyDescent="0.3">
      <c r="A785" s="26">
        <v>43291</v>
      </c>
      <c r="B785" s="27">
        <v>202.429443359375</v>
      </c>
      <c r="C785" s="27">
        <f t="shared" si="27"/>
        <v>5.3103913979765665</v>
      </c>
      <c r="D785" s="29">
        <f t="shared" si="28"/>
        <v>-1.1057382182690922E-3</v>
      </c>
    </row>
    <row r="786" spans="1:4" x14ac:dyDescent="0.3">
      <c r="A786" s="26">
        <v>43292</v>
      </c>
      <c r="B786" s="27">
        <v>201.4349060058594</v>
      </c>
      <c r="C786" s="27">
        <f t="shared" si="27"/>
        <v>5.3054662820784539</v>
      </c>
      <c r="D786" s="29">
        <f t="shared" si="28"/>
        <v>-9.2744875641170843E-4</v>
      </c>
    </row>
    <row r="787" spans="1:4" x14ac:dyDescent="0.3">
      <c r="A787" s="26">
        <v>43293</v>
      </c>
      <c r="B787" s="27">
        <v>205.79100036621091</v>
      </c>
      <c r="C787" s="27">
        <f t="shared" si="27"/>
        <v>5.3268610924447897</v>
      </c>
      <c r="D787" s="29">
        <f t="shared" si="28"/>
        <v>4.0325975567134797E-3</v>
      </c>
    </row>
    <row r="788" spans="1:4" x14ac:dyDescent="0.3">
      <c r="A788" s="26">
        <v>43294</v>
      </c>
      <c r="B788" s="27">
        <v>206.18882751464841</v>
      </c>
      <c r="C788" s="27">
        <f t="shared" si="27"/>
        <v>5.3287923873537588</v>
      </c>
      <c r="D788" s="29">
        <f t="shared" si="28"/>
        <v>3.625577756680709E-4</v>
      </c>
    </row>
    <row r="789" spans="1:4" x14ac:dyDescent="0.3">
      <c r="A789" s="26">
        <v>43297</v>
      </c>
      <c r="B789" s="27">
        <v>206.09930419921881</v>
      </c>
      <c r="C789" s="27">
        <f t="shared" si="27"/>
        <v>5.3283581118558709</v>
      </c>
      <c r="D789" s="29">
        <f t="shared" si="28"/>
        <v>-8.1496043816353669E-5</v>
      </c>
    </row>
    <row r="790" spans="1:4" x14ac:dyDescent="0.3">
      <c r="A790" s="26">
        <v>43298</v>
      </c>
      <c r="B790" s="27">
        <v>208.84428405761719</v>
      </c>
      <c r="C790" s="27">
        <f t="shared" si="27"/>
        <v>5.3415889219194685</v>
      </c>
      <c r="D790" s="29">
        <f t="shared" si="28"/>
        <v>2.4830932504626979E-3</v>
      </c>
    </row>
    <row r="791" spans="1:4" x14ac:dyDescent="0.3">
      <c r="A791" s="26">
        <v>43299</v>
      </c>
      <c r="B791" s="27">
        <v>208.21769714355469</v>
      </c>
      <c r="C791" s="27">
        <f t="shared" si="27"/>
        <v>5.3385841532580187</v>
      </c>
      <c r="D791" s="29">
        <f t="shared" si="28"/>
        <v>-5.6252338122086964E-4</v>
      </c>
    </row>
    <row r="792" spans="1:4" x14ac:dyDescent="0.3">
      <c r="A792" s="26">
        <v>43300</v>
      </c>
      <c r="B792" s="27">
        <v>206.9546203613281</v>
      </c>
      <c r="C792" s="27">
        <f t="shared" si="27"/>
        <v>5.3324995439243947</v>
      </c>
      <c r="D792" s="29">
        <f t="shared" si="28"/>
        <v>-1.1397421411650788E-3</v>
      </c>
    </row>
    <row r="793" spans="1:4" x14ac:dyDescent="0.3">
      <c r="A793" s="26">
        <v>43301</v>
      </c>
      <c r="B793" s="27">
        <v>208.79454040527341</v>
      </c>
      <c r="C793" s="27">
        <f t="shared" si="27"/>
        <v>5.3413507081823095</v>
      </c>
      <c r="D793" s="29">
        <f t="shared" si="28"/>
        <v>1.6598527922988549E-3</v>
      </c>
    </row>
    <row r="794" spans="1:4" x14ac:dyDescent="0.3">
      <c r="A794" s="26">
        <v>43304</v>
      </c>
      <c r="B794" s="27">
        <v>209.7592468261719</v>
      </c>
      <c r="C794" s="27">
        <f t="shared" si="27"/>
        <v>5.3459604293633101</v>
      </c>
      <c r="D794" s="29">
        <f t="shared" si="28"/>
        <v>8.6302537182936234E-4</v>
      </c>
    </row>
    <row r="795" spans="1:4" x14ac:dyDescent="0.3">
      <c r="A795" s="26">
        <v>43305</v>
      </c>
      <c r="B795" s="27">
        <v>213.49873352050781</v>
      </c>
      <c r="C795" s="27">
        <f t="shared" si="27"/>
        <v>5.3636309006628311</v>
      </c>
      <c r="D795" s="29">
        <f t="shared" si="28"/>
        <v>3.305387597420939E-3</v>
      </c>
    </row>
    <row r="796" spans="1:4" x14ac:dyDescent="0.3">
      <c r="A796" s="26">
        <v>43306</v>
      </c>
      <c r="B796" s="27">
        <v>216.31330871582031</v>
      </c>
      <c r="C796" s="27">
        <f t="shared" si="27"/>
        <v>5.3767278600343777</v>
      </c>
      <c r="D796" s="29">
        <f t="shared" si="28"/>
        <v>2.441808471557616E-3</v>
      </c>
    </row>
    <row r="797" spans="1:4" x14ac:dyDescent="0.3">
      <c r="A797" s="26">
        <v>43307</v>
      </c>
      <c r="B797" s="27">
        <v>175.2983093261719</v>
      </c>
      <c r="C797" s="27">
        <f t="shared" si="27"/>
        <v>5.1664891474207373</v>
      </c>
      <c r="D797" s="29">
        <f t="shared" si="28"/>
        <v>-3.9101609396369197E-2</v>
      </c>
    </row>
    <row r="798" spans="1:4" x14ac:dyDescent="0.3">
      <c r="A798" s="26">
        <v>43308</v>
      </c>
      <c r="B798" s="27">
        <v>173.93577575683591</v>
      </c>
      <c r="C798" s="27">
        <f t="shared" si="27"/>
        <v>5.1586861262327979</v>
      </c>
      <c r="D798" s="29">
        <f t="shared" si="28"/>
        <v>-1.5103140576294694E-3</v>
      </c>
    </row>
    <row r="799" spans="1:4" x14ac:dyDescent="0.3">
      <c r="A799" s="26">
        <v>43311</v>
      </c>
      <c r="B799" s="27">
        <v>170.12669372558591</v>
      </c>
      <c r="C799" s="27">
        <f t="shared" si="27"/>
        <v>5.1365434166933337</v>
      </c>
      <c r="D799" s="29">
        <f t="shared" si="28"/>
        <v>-4.2923157171483872E-3</v>
      </c>
    </row>
    <row r="800" spans="1:4" x14ac:dyDescent="0.3">
      <c r="A800" s="26">
        <v>43312</v>
      </c>
      <c r="B800" s="27">
        <v>171.63836669921881</v>
      </c>
      <c r="C800" s="27">
        <f t="shared" si="27"/>
        <v>5.1453897442263745</v>
      </c>
      <c r="D800" s="29">
        <f t="shared" si="28"/>
        <v>1.7222335752660189E-3</v>
      </c>
    </row>
    <row r="801" spans="1:4" x14ac:dyDescent="0.3">
      <c r="A801" s="26">
        <v>43313</v>
      </c>
      <c r="B801" s="27">
        <v>170.71343994140619</v>
      </c>
      <c r="C801" s="27">
        <f t="shared" si="27"/>
        <v>5.1399863609799024</v>
      </c>
      <c r="D801" s="29">
        <f t="shared" si="28"/>
        <v>-1.0501407114077432E-3</v>
      </c>
    </row>
    <row r="802" spans="1:4" x14ac:dyDescent="0.3">
      <c r="A802" s="26">
        <v>43314</v>
      </c>
      <c r="B802" s="27">
        <v>175.40769958496091</v>
      </c>
      <c r="C802" s="27">
        <f t="shared" si="27"/>
        <v>5.1671129762663064</v>
      </c>
      <c r="D802" s="29">
        <f t="shared" si="28"/>
        <v>5.2775656161920814E-3</v>
      </c>
    </row>
    <row r="803" spans="1:4" x14ac:dyDescent="0.3">
      <c r="A803" s="26">
        <v>43315</v>
      </c>
      <c r="B803" s="27">
        <v>176.80999755859381</v>
      </c>
      <c r="C803" s="27">
        <f t="shared" si="27"/>
        <v>5.1750756958819206</v>
      </c>
      <c r="D803" s="29">
        <f t="shared" si="28"/>
        <v>1.5410384197498406E-3</v>
      </c>
    </row>
    <row r="804" spans="1:4" x14ac:dyDescent="0.3">
      <c r="A804" s="26">
        <v>43318</v>
      </c>
      <c r="B804" s="27">
        <v>184.6768493652344</v>
      </c>
      <c r="C804" s="27">
        <f t="shared" si="27"/>
        <v>5.2186075375259398</v>
      </c>
      <c r="D804" s="29">
        <f t="shared" si="28"/>
        <v>8.4118270344644142E-3</v>
      </c>
    </row>
    <row r="805" spans="1:4" x14ac:dyDescent="0.3">
      <c r="A805" s="26">
        <v>43319</v>
      </c>
      <c r="B805" s="27">
        <v>182.8070983886719</v>
      </c>
      <c r="C805" s="27">
        <f t="shared" si="27"/>
        <v>5.2084314897140054</v>
      </c>
      <c r="D805" s="29">
        <f t="shared" si="28"/>
        <v>-1.9499546073853402E-3</v>
      </c>
    </row>
    <row r="806" spans="1:4" x14ac:dyDescent="0.3">
      <c r="A806" s="26">
        <v>43320</v>
      </c>
      <c r="B806" s="27">
        <v>184.16961669921881</v>
      </c>
      <c r="C806" s="27">
        <f t="shared" si="27"/>
        <v>5.2158571628718082</v>
      </c>
      <c r="D806" s="29">
        <f t="shared" si="28"/>
        <v>1.4257023774753019E-3</v>
      </c>
    </row>
    <row r="807" spans="1:4" x14ac:dyDescent="0.3">
      <c r="A807" s="26">
        <v>43321</v>
      </c>
      <c r="B807" s="27">
        <v>182.0910339355469</v>
      </c>
      <c r="C807" s="27">
        <f t="shared" si="27"/>
        <v>5.2045067484842953</v>
      </c>
      <c r="D807" s="29">
        <f t="shared" si="28"/>
        <v>-2.1761359701927274E-3</v>
      </c>
    </row>
    <row r="808" spans="1:4" x14ac:dyDescent="0.3">
      <c r="A808" s="26">
        <v>43322</v>
      </c>
      <c r="B808" s="27">
        <v>179.27647399902341</v>
      </c>
      <c r="C808" s="27">
        <f t="shared" si="27"/>
        <v>5.1889291617346895</v>
      </c>
      <c r="D808" s="29">
        <f t="shared" si="28"/>
        <v>-2.9930956961756738E-3</v>
      </c>
    </row>
    <row r="809" spans="1:4" x14ac:dyDescent="0.3">
      <c r="A809" s="26">
        <v>43325</v>
      </c>
      <c r="B809" s="27">
        <v>179.06761169433591</v>
      </c>
      <c r="C809" s="27">
        <f t="shared" si="27"/>
        <v>5.187763453485676</v>
      </c>
      <c r="D809" s="29">
        <f t="shared" si="28"/>
        <v>-2.2465295105777994E-4</v>
      </c>
    </row>
    <row r="810" spans="1:4" x14ac:dyDescent="0.3">
      <c r="A810" s="26">
        <v>43326</v>
      </c>
      <c r="B810" s="27">
        <v>180.1218566894531</v>
      </c>
      <c r="C810" s="27">
        <f t="shared" si="27"/>
        <v>5.1936336034496033</v>
      </c>
      <c r="D810" s="29">
        <f t="shared" si="28"/>
        <v>1.1315377072529387E-3</v>
      </c>
    </row>
    <row r="811" spans="1:4" x14ac:dyDescent="0.3">
      <c r="A811" s="26">
        <v>43327</v>
      </c>
      <c r="B811" s="27">
        <v>178.55046081542969</v>
      </c>
      <c r="C811" s="27">
        <f t="shared" si="27"/>
        <v>5.1848712549132383</v>
      </c>
      <c r="D811" s="29">
        <f t="shared" si="28"/>
        <v>-1.687132594518248E-3</v>
      </c>
    </row>
    <row r="812" spans="1:4" x14ac:dyDescent="0.3">
      <c r="A812" s="26">
        <v>43328</v>
      </c>
      <c r="B812" s="27">
        <v>173.746826171875</v>
      </c>
      <c r="C812" s="27">
        <f t="shared" si="27"/>
        <v>5.1575992176413736</v>
      </c>
      <c r="D812" s="29">
        <f t="shared" si="28"/>
        <v>-5.2599256434807673E-3</v>
      </c>
    </row>
    <row r="813" spans="1:4" x14ac:dyDescent="0.3">
      <c r="A813" s="26">
        <v>43329</v>
      </c>
      <c r="B813" s="27">
        <v>172.85173034667969</v>
      </c>
      <c r="C813" s="27">
        <f t="shared" si="27"/>
        <v>5.152434177001239</v>
      </c>
      <c r="D813" s="29">
        <f t="shared" si="28"/>
        <v>-1.0014428074340831E-3</v>
      </c>
    </row>
    <row r="814" spans="1:4" x14ac:dyDescent="0.3">
      <c r="A814" s="26">
        <v>43332</v>
      </c>
      <c r="B814" s="27">
        <v>171.55882263183591</v>
      </c>
      <c r="C814" s="27">
        <f t="shared" si="27"/>
        <v>5.1449261969055922</v>
      </c>
      <c r="D814" s="29">
        <f t="shared" si="28"/>
        <v>-1.4571714723032869E-3</v>
      </c>
    </row>
    <row r="815" spans="1:4" x14ac:dyDescent="0.3">
      <c r="A815" s="26">
        <v>43333</v>
      </c>
      <c r="B815" s="27">
        <v>171.67816162109381</v>
      </c>
      <c r="C815" s="27">
        <f t="shared" si="27"/>
        <v>5.1456215706534207</v>
      </c>
      <c r="D815" s="29">
        <f t="shared" si="28"/>
        <v>1.351571861705203E-4</v>
      </c>
    </row>
    <row r="816" spans="1:4" x14ac:dyDescent="0.3">
      <c r="A816" s="26">
        <v>43334</v>
      </c>
      <c r="B816" s="27">
        <v>172.6925964355469</v>
      </c>
      <c r="C816" s="27">
        <f t="shared" si="27"/>
        <v>5.1515131147232687</v>
      </c>
      <c r="D816" s="29">
        <f t="shared" si="28"/>
        <v>1.1449625645711947E-3</v>
      </c>
    </row>
    <row r="817" spans="1:4" x14ac:dyDescent="0.3">
      <c r="A817" s="26">
        <v>43335</v>
      </c>
      <c r="B817" s="27">
        <v>171.9566345214844</v>
      </c>
      <c r="C817" s="27">
        <f t="shared" si="27"/>
        <v>5.1472423201495427</v>
      </c>
      <c r="D817" s="29">
        <f t="shared" si="28"/>
        <v>-8.2903692150559927E-4</v>
      </c>
    </row>
    <row r="818" spans="1:4" x14ac:dyDescent="0.3">
      <c r="A818" s="26">
        <v>43336</v>
      </c>
      <c r="B818" s="27">
        <v>173.69708251953119</v>
      </c>
      <c r="C818" s="27">
        <f t="shared" si="27"/>
        <v>5.1573128770181</v>
      </c>
      <c r="D818" s="29">
        <f t="shared" si="28"/>
        <v>1.9564955838846654E-3</v>
      </c>
    </row>
    <row r="819" spans="1:4" x14ac:dyDescent="0.3">
      <c r="A819" s="26">
        <v>43339</v>
      </c>
      <c r="B819" s="27">
        <v>176.49176025390619</v>
      </c>
      <c r="C819" s="27">
        <f t="shared" si="27"/>
        <v>5.1732741911697682</v>
      </c>
      <c r="D819" s="29">
        <f t="shared" si="28"/>
        <v>3.0948896319233921E-3</v>
      </c>
    </row>
    <row r="820" spans="1:4" x14ac:dyDescent="0.3">
      <c r="A820" s="26">
        <v>43340</v>
      </c>
      <c r="B820" s="27">
        <v>175.2983093261719</v>
      </c>
      <c r="C820" s="27">
        <f t="shared" si="27"/>
        <v>5.1664891474207373</v>
      </c>
      <c r="D820" s="29">
        <f t="shared" si="28"/>
        <v>-1.3115569556727547E-3</v>
      </c>
    </row>
    <row r="821" spans="1:4" x14ac:dyDescent="0.3">
      <c r="A821" s="26">
        <v>43341</v>
      </c>
      <c r="B821" s="27">
        <v>174.94026184082031</v>
      </c>
      <c r="C821" s="27">
        <f t="shared" si="27"/>
        <v>5.1644445547370177</v>
      </c>
      <c r="D821" s="29">
        <f t="shared" si="28"/>
        <v>-3.9574121330343548E-4</v>
      </c>
    </row>
    <row r="822" spans="1:4" x14ac:dyDescent="0.3">
      <c r="A822" s="26">
        <v>43342</v>
      </c>
      <c r="B822" s="27">
        <v>176.6707763671875</v>
      </c>
      <c r="C822" s="27">
        <f t="shared" si="27"/>
        <v>5.1742879800632693</v>
      </c>
      <c r="D822" s="29">
        <f t="shared" si="28"/>
        <v>1.9059988391632032E-3</v>
      </c>
    </row>
    <row r="823" spans="1:4" x14ac:dyDescent="0.3">
      <c r="A823" s="26">
        <v>43343</v>
      </c>
      <c r="B823" s="27">
        <v>174.77119445800781</v>
      </c>
      <c r="C823" s="27">
        <f t="shared" si="27"/>
        <v>5.1634776582116739</v>
      </c>
      <c r="D823" s="29">
        <f t="shared" si="28"/>
        <v>-2.0892385374080558E-3</v>
      </c>
    </row>
    <row r="824" spans="1:4" x14ac:dyDescent="0.3">
      <c r="A824" s="26">
        <v>43347</v>
      </c>
      <c r="B824" s="27">
        <v>170.22615051269531</v>
      </c>
      <c r="C824" s="27">
        <f t="shared" si="27"/>
        <v>5.1371278501224875</v>
      </c>
      <c r="D824" s="29">
        <f t="shared" si="28"/>
        <v>-5.1031126371354762E-3</v>
      </c>
    </row>
    <row r="825" spans="1:4" x14ac:dyDescent="0.3">
      <c r="A825" s="26">
        <v>43348</v>
      </c>
      <c r="B825" s="27">
        <v>166.267822265625</v>
      </c>
      <c r="C825" s="27">
        <f t="shared" si="27"/>
        <v>5.1135998753880276</v>
      </c>
      <c r="D825" s="29">
        <f t="shared" si="28"/>
        <v>-4.5799862142614778E-3</v>
      </c>
    </row>
    <row r="826" spans="1:4" x14ac:dyDescent="0.3">
      <c r="A826" s="26">
        <v>43349</v>
      </c>
      <c r="B826" s="27">
        <v>161.64320373535159</v>
      </c>
      <c r="C826" s="27">
        <f t="shared" si="27"/>
        <v>5.0853914602028656</v>
      </c>
      <c r="D826" s="29">
        <f t="shared" si="28"/>
        <v>-5.5163516646913324E-3</v>
      </c>
    </row>
    <row r="827" spans="1:4" x14ac:dyDescent="0.3">
      <c r="A827" s="26">
        <v>43350</v>
      </c>
      <c r="B827" s="27">
        <v>162.1504211425781</v>
      </c>
      <c r="C827" s="27">
        <f t="shared" si="27"/>
        <v>5.0885244299906454</v>
      </c>
      <c r="D827" s="29">
        <f t="shared" si="28"/>
        <v>6.1607249162576316E-4</v>
      </c>
    </row>
    <row r="828" spans="1:4" x14ac:dyDescent="0.3">
      <c r="A828" s="26">
        <v>43353</v>
      </c>
      <c r="B828" s="27">
        <v>163.28419494628909</v>
      </c>
      <c r="C828" s="27">
        <f t="shared" si="27"/>
        <v>5.095492209905327</v>
      </c>
      <c r="D828" s="29">
        <f t="shared" si="28"/>
        <v>1.3693124619025276E-3</v>
      </c>
    </row>
    <row r="829" spans="1:4" x14ac:dyDescent="0.3">
      <c r="A829" s="26">
        <v>43354</v>
      </c>
      <c r="B829" s="27">
        <v>165.03462219238281</v>
      </c>
      <c r="C829" s="27">
        <f t="shared" si="27"/>
        <v>5.1061552833580235</v>
      </c>
      <c r="D829" s="29">
        <f t="shared" si="28"/>
        <v>2.0926483671133145E-3</v>
      </c>
    </row>
    <row r="830" spans="1:4" x14ac:dyDescent="0.3">
      <c r="A830" s="26">
        <v>43355</v>
      </c>
      <c r="B830" s="27">
        <v>161.1160888671875</v>
      </c>
      <c r="C830" s="27">
        <f t="shared" si="27"/>
        <v>5.0821251540181418</v>
      </c>
      <c r="D830" s="29">
        <f t="shared" si="28"/>
        <v>-4.7061101761242119E-3</v>
      </c>
    </row>
    <row r="831" spans="1:4" x14ac:dyDescent="0.3">
      <c r="A831" s="26">
        <v>43356</v>
      </c>
      <c r="B831" s="27">
        <v>160.47959899902341</v>
      </c>
      <c r="C831" s="27">
        <f t="shared" si="27"/>
        <v>5.0781668254506789</v>
      </c>
      <c r="D831" s="29">
        <f t="shared" si="28"/>
        <v>-7.7887270531562525E-4</v>
      </c>
    </row>
    <row r="832" spans="1:4" x14ac:dyDescent="0.3">
      <c r="A832" s="26">
        <v>43357</v>
      </c>
      <c r="B832" s="27">
        <v>161.4343566894531</v>
      </c>
      <c r="C832" s="27">
        <f t="shared" si="27"/>
        <v>5.0840985999081774</v>
      </c>
      <c r="D832" s="29">
        <f t="shared" si="28"/>
        <v>1.1680936569018474E-3</v>
      </c>
    </row>
    <row r="833" spans="1:4" x14ac:dyDescent="0.3">
      <c r="A833" s="26">
        <v>43360</v>
      </c>
      <c r="B833" s="27">
        <v>159.703857421875</v>
      </c>
      <c r="C833" s="27">
        <f t="shared" si="27"/>
        <v>5.0733212091050577</v>
      </c>
      <c r="D833" s="29">
        <f t="shared" si="28"/>
        <v>-2.1198233258722388E-3</v>
      </c>
    </row>
    <row r="834" spans="1:4" x14ac:dyDescent="0.3">
      <c r="A834" s="26">
        <v>43361</v>
      </c>
      <c r="B834" s="27">
        <v>159.42536926269531</v>
      </c>
      <c r="C834" s="27">
        <f t="shared" si="27"/>
        <v>5.071575908414399</v>
      </c>
      <c r="D834" s="29">
        <f t="shared" si="28"/>
        <v>-3.440154129263906E-4</v>
      </c>
    </row>
    <row r="835" spans="1:4" x14ac:dyDescent="0.3">
      <c r="A835" s="26">
        <v>43362</v>
      </c>
      <c r="B835" s="27">
        <v>162.17030334472659</v>
      </c>
      <c r="C835" s="27">
        <f t="shared" ref="C835:C898" si="29">LN(B835)</f>
        <v>5.0886470382649387</v>
      </c>
      <c r="D835" s="29">
        <f t="shared" si="28"/>
        <v>3.366040488956612E-3</v>
      </c>
    </row>
    <row r="836" spans="1:4" x14ac:dyDescent="0.3">
      <c r="A836" s="26">
        <v>43363</v>
      </c>
      <c r="B836" s="27">
        <v>165.1141662597656</v>
      </c>
      <c r="C836" s="27">
        <f t="shared" si="29"/>
        <v>5.106637151362416</v>
      </c>
      <c r="D836" s="29">
        <f t="shared" ref="D836:D899" si="30">C836/C835-1</f>
        <v>3.5353430808224839E-3</v>
      </c>
    </row>
    <row r="837" spans="1:4" x14ac:dyDescent="0.3">
      <c r="A837" s="26">
        <v>43364</v>
      </c>
      <c r="B837" s="27">
        <v>162.04100036621091</v>
      </c>
      <c r="C837" s="27">
        <f t="shared" si="29"/>
        <v>5.0878493918911607</v>
      </c>
      <c r="D837" s="29">
        <f t="shared" si="30"/>
        <v>-3.679086434845491E-3</v>
      </c>
    </row>
    <row r="838" spans="1:4" x14ac:dyDescent="0.3">
      <c r="A838" s="26">
        <v>43367</v>
      </c>
      <c r="B838" s="27">
        <v>164.50752258300781</v>
      </c>
      <c r="C838" s="27">
        <f t="shared" si="29"/>
        <v>5.1029562991477322</v>
      </c>
      <c r="D838" s="29">
        <f t="shared" si="30"/>
        <v>2.9692127445140049E-3</v>
      </c>
    </row>
    <row r="839" spans="1:4" x14ac:dyDescent="0.3">
      <c r="A839" s="26">
        <v>43368</v>
      </c>
      <c r="B839" s="27">
        <v>164.01023864746091</v>
      </c>
      <c r="C839" s="27">
        <f t="shared" si="29"/>
        <v>5.0999288566526788</v>
      </c>
      <c r="D839" s="29">
        <f t="shared" si="30"/>
        <v>-5.9327227543748418E-4</v>
      </c>
    </row>
    <row r="840" spans="1:4" x14ac:dyDescent="0.3">
      <c r="A840" s="26">
        <v>43369</v>
      </c>
      <c r="B840" s="27">
        <v>166.0390930175781</v>
      </c>
      <c r="C840" s="27">
        <f t="shared" si="29"/>
        <v>5.1122232607366387</v>
      </c>
      <c r="D840" s="29">
        <f t="shared" si="30"/>
        <v>2.4107010959422137E-3</v>
      </c>
    </row>
    <row r="841" spans="1:4" x14ac:dyDescent="0.3">
      <c r="A841" s="26">
        <v>43370</v>
      </c>
      <c r="B841" s="27">
        <v>167.9187927246094</v>
      </c>
      <c r="C841" s="27">
        <f t="shared" si="29"/>
        <v>5.1234804858998801</v>
      </c>
      <c r="D841" s="29">
        <f t="shared" si="30"/>
        <v>2.2020214276829986E-3</v>
      </c>
    </row>
    <row r="842" spans="1:4" x14ac:dyDescent="0.3">
      <c r="A842" s="26">
        <v>43371</v>
      </c>
      <c r="B842" s="27">
        <v>163.56268310546881</v>
      </c>
      <c r="C842" s="27">
        <f t="shared" si="29"/>
        <v>5.097196299772925</v>
      </c>
      <c r="D842" s="29">
        <f t="shared" si="30"/>
        <v>-5.1301427221770446E-3</v>
      </c>
    </row>
    <row r="843" spans="1:4" x14ac:dyDescent="0.3">
      <c r="A843" s="26">
        <v>43374</v>
      </c>
      <c r="B843" s="27">
        <v>161.5537109375</v>
      </c>
      <c r="C843" s="27">
        <f t="shared" si="29"/>
        <v>5.0848376628361462</v>
      </c>
      <c r="D843" s="29">
        <f t="shared" si="30"/>
        <v>-2.4245950538199779E-3</v>
      </c>
    </row>
    <row r="844" spans="1:4" x14ac:dyDescent="0.3">
      <c r="A844" s="26">
        <v>43375</v>
      </c>
      <c r="B844" s="27">
        <v>158.460693359375</v>
      </c>
      <c r="C844" s="27">
        <f t="shared" si="29"/>
        <v>5.0655065711388758</v>
      </c>
      <c r="D844" s="29">
        <f t="shared" si="30"/>
        <v>-3.8017126561495918E-3</v>
      </c>
    </row>
    <row r="845" spans="1:4" x14ac:dyDescent="0.3">
      <c r="A845" s="26">
        <v>43376</v>
      </c>
      <c r="B845" s="27">
        <v>161.54376220703119</v>
      </c>
      <c r="C845" s="27">
        <f t="shared" si="29"/>
        <v>5.084776079374195</v>
      </c>
      <c r="D845" s="29">
        <f t="shared" si="30"/>
        <v>3.8040634168967635E-3</v>
      </c>
    </row>
    <row r="846" spans="1:4" x14ac:dyDescent="0.3">
      <c r="A846" s="26">
        <v>43377</v>
      </c>
      <c r="B846" s="27">
        <v>157.98329162597659</v>
      </c>
      <c r="C846" s="27">
        <f t="shared" si="29"/>
        <v>5.0624892782324462</v>
      </c>
      <c r="D846" s="29">
        <f t="shared" si="30"/>
        <v>-4.3830447582839938E-3</v>
      </c>
    </row>
    <row r="847" spans="1:4" x14ac:dyDescent="0.3">
      <c r="A847" s="26">
        <v>43378</v>
      </c>
      <c r="B847" s="27">
        <v>156.47160339355469</v>
      </c>
      <c r="C847" s="27">
        <f t="shared" si="29"/>
        <v>5.0528745455520276</v>
      </c>
      <c r="D847" s="29">
        <f t="shared" si="30"/>
        <v>-1.8992104776912599E-3</v>
      </c>
    </row>
    <row r="848" spans="1:4" x14ac:dyDescent="0.3">
      <c r="A848" s="26">
        <v>43381</v>
      </c>
      <c r="B848" s="27">
        <v>156.39204406738281</v>
      </c>
      <c r="C848" s="27">
        <f t="shared" si="29"/>
        <v>5.0523659576829516</v>
      </c>
      <c r="D848" s="29">
        <f t="shared" si="30"/>
        <v>-1.0065317563123788E-4</v>
      </c>
    </row>
    <row r="849" spans="1:4" x14ac:dyDescent="0.3">
      <c r="A849" s="26">
        <v>43382</v>
      </c>
      <c r="B849" s="27">
        <v>157.0384826660156</v>
      </c>
      <c r="C849" s="27">
        <f t="shared" si="29"/>
        <v>5.0564908878355341</v>
      </c>
      <c r="D849" s="29">
        <f t="shared" si="30"/>
        <v>8.1643534675279739E-4</v>
      </c>
    </row>
    <row r="850" spans="1:4" x14ac:dyDescent="0.3">
      <c r="A850" s="26">
        <v>43383</v>
      </c>
      <c r="B850" s="27">
        <v>150.5540466308594</v>
      </c>
      <c r="C850" s="27">
        <f t="shared" si="29"/>
        <v>5.0143221335493022</v>
      </c>
      <c r="D850" s="29">
        <f t="shared" si="30"/>
        <v>-8.3395293735578635E-3</v>
      </c>
    </row>
    <row r="851" spans="1:4" x14ac:dyDescent="0.3">
      <c r="A851" s="26">
        <v>43384</v>
      </c>
      <c r="B851" s="27">
        <v>152.5133056640625</v>
      </c>
      <c r="C851" s="27">
        <f t="shared" si="29"/>
        <v>5.0272518424975319</v>
      </c>
      <c r="D851" s="29">
        <f t="shared" si="30"/>
        <v>2.5785557058093378E-3</v>
      </c>
    </row>
    <row r="852" spans="1:4" x14ac:dyDescent="0.3">
      <c r="A852" s="26">
        <v>43385</v>
      </c>
      <c r="B852" s="27">
        <v>152.90119934082031</v>
      </c>
      <c r="C852" s="27">
        <f t="shared" si="29"/>
        <v>5.0297919568599125</v>
      </c>
      <c r="D852" s="29">
        <f t="shared" si="30"/>
        <v>5.0526897039615548E-4</v>
      </c>
    </row>
    <row r="853" spans="1:4" x14ac:dyDescent="0.3">
      <c r="A853" s="26">
        <v>43388</v>
      </c>
      <c r="B853" s="27">
        <v>152.68238830566409</v>
      </c>
      <c r="C853" s="27">
        <f t="shared" si="29"/>
        <v>5.0283598703120873</v>
      </c>
      <c r="D853" s="29">
        <f t="shared" si="30"/>
        <v>-2.8472083141972693E-4</v>
      </c>
    </row>
    <row r="854" spans="1:4" x14ac:dyDescent="0.3">
      <c r="A854" s="26">
        <v>43389</v>
      </c>
      <c r="B854" s="27">
        <v>157.9136962890625</v>
      </c>
      <c r="C854" s="27">
        <f t="shared" si="29"/>
        <v>5.0620486577725963</v>
      </c>
      <c r="D854" s="29">
        <f t="shared" si="30"/>
        <v>6.6997566461801661E-3</v>
      </c>
    </row>
    <row r="855" spans="1:4" x14ac:dyDescent="0.3">
      <c r="A855" s="26">
        <v>43390</v>
      </c>
      <c r="B855" s="27">
        <v>158.55015563964841</v>
      </c>
      <c r="C855" s="27">
        <f t="shared" si="29"/>
        <v>5.0660709826278252</v>
      </c>
      <c r="D855" s="29">
        <f t="shared" si="30"/>
        <v>7.9460414689069836E-4</v>
      </c>
    </row>
    <row r="856" spans="1:4" x14ac:dyDescent="0.3">
      <c r="A856" s="26">
        <v>43391</v>
      </c>
      <c r="B856" s="27">
        <v>154.0747375488281</v>
      </c>
      <c r="C856" s="27">
        <f t="shared" si="29"/>
        <v>5.0374377934480448</v>
      </c>
      <c r="D856" s="29">
        <f t="shared" si="30"/>
        <v>-5.6519518336729524E-3</v>
      </c>
    </row>
    <row r="857" spans="1:4" x14ac:dyDescent="0.3">
      <c r="A857" s="26">
        <v>43392</v>
      </c>
      <c r="B857" s="27">
        <v>153.2095031738281</v>
      </c>
      <c r="C857" s="27">
        <f t="shared" si="29"/>
        <v>5.0318062865433957</v>
      </c>
      <c r="D857" s="29">
        <f t="shared" si="30"/>
        <v>-1.1179308083910655E-3</v>
      </c>
    </row>
    <row r="858" spans="1:4" x14ac:dyDescent="0.3">
      <c r="A858" s="26">
        <v>43395</v>
      </c>
      <c r="B858" s="27">
        <v>153.93550109863281</v>
      </c>
      <c r="C858" s="27">
        <f t="shared" si="29"/>
        <v>5.0365336906474942</v>
      </c>
      <c r="D858" s="29">
        <f t="shared" si="30"/>
        <v>9.3950439164180999E-4</v>
      </c>
    </row>
    <row r="859" spans="1:4" x14ac:dyDescent="0.3">
      <c r="A859" s="26">
        <v>43396</v>
      </c>
      <c r="B859" s="27">
        <v>153.5476379394531</v>
      </c>
      <c r="C859" s="27">
        <f t="shared" si="29"/>
        <v>5.0340108637626706</v>
      </c>
      <c r="D859" s="29">
        <f t="shared" si="30"/>
        <v>-5.0090539243452525E-4</v>
      </c>
    </row>
    <row r="860" spans="1:4" x14ac:dyDescent="0.3">
      <c r="A860" s="26">
        <v>43397</v>
      </c>
      <c r="B860" s="27">
        <v>145.2431945800781</v>
      </c>
      <c r="C860" s="27">
        <f t="shared" si="29"/>
        <v>4.9784095414851732</v>
      </c>
      <c r="D860" s="29">
        <f t="shared" si="30"/>
        <v>-1.1045133549024255E-2</v>
      </c>
    </row>
    <row r="861" spans="1:4" x14ac:dyDescent="0.3">
      <c r="A861" s="26">
        <v>43398</v>
      </c>
      <c r="B861" s="27">
        <v>150.12640380859381</v>
      </c>
      <c r="C861" s="27">
        <f t="shared" si="29"/>
        <v>5.0114776312879439</v>
      </c>
      <c r="D861" s="29">
        <f t="shared" si="30"/>
        <v>6.6423000211641714E-3</v>
      </c>
    </row>
    <row r="862" spans="1:4" x14ac:dyDescent="0.3">
      <c r="A862" s="26">
        <v>43399</v>
      </c>
      <c r="B862" s="27">
        <v>144.57682800292969</v>
      </c>
      <c r="C862" s="27">
        <f t="shared" si="29"/>
        <v>4.9738110479410356</v>
      </c>
      <c r="D862" s="29">
        <f t="shared" si="30"/>
        <v>-7.5160633486112127E-3</v>
      </c>
    </row>
    <row r="863" spans="1:4" x14ac:dyDescent="0.3">
      <c r="A863" s="26">
        <v>43402</v>
      </c>
      <c r="B863" s="27">
        <v>141.31474304199219</v>
      </c>
      <c r="C863" s="27">
        <f t="shared" si="29"/>
        <v>4.9509896228321066</v>
      </c>
      <c r="D863" s="29">
        <f t="shared" si="30"/>
        <v>-4.5883176680738824E-3</v>
      </c>
    </row>
    <row r="864" spans="1:4" x14ac:dyDescent="0.3">
      <c r="A864" s="26">
        <v>43403</v>
      </c>
      <c r="B864" s="27">
        <v>145.42219543457031</v>
      </c>
      <c r="C864" s="27">
        <f t="shared" si="29"/>
        <v>4.9796412043062048</v>
      </c>
      <c r="D864" s="29">
        <f t="shared" si="30"/>
        <v>5.7870413102802942E-3</v>
      </c>
    </row>
    <row r="865" spans="1:4" x14ac:dyDescent="0.3">
      <c r="A865" s="26">
        <v>43404</v>
      </c>
      <c r="B865" s="27">
        <v>150.96180725097659</v>
      </c>
      <c r="C865" s="27">
        <f t="shared" si="29"/>
        <v>5.0170268727094651</v>
      </c>
      <c r="D865" s="29">
        <f t="shared" si="30"/>
        <v>7.5077032399304411E-3</v>
      </c>
    </row>
    <row r="866" spans="1:4" x14ac:dyDescent="0.3">
      <c r="A866" s="26">
        <v>43405</v>
      </c>
      <c r="B866" s="27">
        <v>150.92204284667969</v>
      </c>
      <c r="C866" s="27">
        <f t="shared" si="29"/>
        <v>5.0167634309618254</v>
      </c>
      <c r="D866" s="29">
        <f t="shared" si="30"/>
        <v>-5.2509534894551457E-5</v>
      </c>
    </row>
    <row r="867" spans="1:4" x14ac:dyDescent="0.3">
      <c r="A867" s="26">
        <v>43406</v>
      </c>
      <c r="B867" s="27">
        <v>149.5296630859375</v>
      </c>
      <c r="C867" s="27">
        <f t="shared" si="29"/>
        <v>5.0074947884395824</v>
      </c>
      <c r="D867" s="29">
        <f t="shared" si="30"/>
        <v>-1.8475343017053669E-3</v>
      </c>
    </row>
    <row r="868" spans="1:4" x14ac:dyDescent="0.3">
      <c r="A868" s="26">
        <v>43409</v>
      </c>
      <c r="B868" s="27">
        <v>147.8687744140625</v>
      </c>
      <c r="C868" s="27">
        <f t="shared" si="29"/>
        <v>4.9963252210847502</v>
      </c>
      <c r="D868" s="29">
        <f t="shared" si="30"/>
        <v>-2.2305699410049007E-3</v>
      </c>
    </row>
    <row r="869" spans="1:4" x14ac:dyDescent="0.3">
      <c r="A869" s="26">
        <v>43410</v>
      </c>
      <c r="B869" s="27">
        <v>149.1219177246094</v>
      </c>
      <c r="C869" s="27">
        <f t="shared" si="29"/>
        <v>5.0047642111322803</v>
      </c>
      <c r="D869" s="29">
        <f t="shared" si="30"/>
        <v>1.6890393787651892E-3</v>
      </c>
    </row>
    <row r="870" spans="1:4" x14ac:dyDescent="0.3">
      <c r="A870" s="26">
        <v>43411</v>
      </c>
      <c r="B870" s="27">
        <v>150.7032470703125</v>
      </c>
      <c r="C870" s="27">
        <f t="shared" si="29"/>
        <v>5.0153126519850133</v>
      </c>
      <c r="D870" s="29">
        <f t="shared" si="30"/>
        <v>2.1076798841530575E-3</v>
      </c>
    </row>
    <row r="871" spans="1:4" x14ac:dyDescent="0.3">
      <c r="A871" s="26">
        <v>43412</v>
      </c>
      <c r="B871" s="27">
        <v>147.0632019042969</v>
      </c>
      <c r="C871" s="27">
        <f t="shared" si="29"/>
        <v>4.9908624393060892</v>
      </c>
      <c r="D871" s="29">
        <f t="shared" si="30"/>
        <v>-4.8751123560057952E-3</v>
      </c>
    </row>
    <row r="872" spans="1:4" x14ac:dyDescent="0.3">
      <c r="A872" s="26">
        <v>43413</v>
      </c>
      <c r="B872" s="27">
        <v>144.16908264160159</v>
      </c>
      <c r="C872" s="27">
        <f t="shared" si="29"/>
        <v>4.9709867957710481</v>
      </c>
      <c r="D872" s="29">
        <f t="shared" si="30"/>
        <v>-3.9824066034175321E-3</v>
      </c>
    </row>
    <row r="873" spans="1:4" x14ac:dyDescent="0.3">
      <c r="A873" s="26">
        <v>43416</v>
      </c>
      <c r="B873" s="27">
        <v>140.7776794433594</v>
      </c>
      <c r="C873" s="27">
        <f t="shared" si="29"/>
        <v>4.9471819044765732</v>
      </c>
      <c r="D873" s="29">
        <f t="shared" si="30"/>
        <v>-4.7887657466172406E-3</v>
      </c>
    </row>
    <row r="874" spans="1:4" x14ac:dyDescent="0.3">
      <c r="A874" s="26">
        <v>43417</v>
      </c>
      <c r="B874" s="27">
        <v>141.38435363769531</v>
      </c>
      <c r="C874" s="27">
        <f t="shared" si="29"/>
        <v>4.9514820941411957</v>
      </c>
      <c r="D874" s="29">
        <f t="shared" si="30"/>
        <v>8.6922004237033335E-4</v>
      </c>
    </row>
    <row r="875" spans="1:4" x14ac:dyDescent="0.3">
      <c r="A875" s="26">
        <v>43418</v>
      </c>
      <c r="B875" s="27">
        <v>143.43312072753909</v>
      </c>
      <c r="C875" s="27">
        <f t="shared" si="29"/>
        <v>4.9658688689132431</v>
      </c>
      <c r="D875" s="29">
        <f t="shared" si="30"/>
        <v>2.905549186791978E-3</v>
      </c>
    </row>
    <row r="876" spans="1:4" x14ac:dyDescent="0.3">
      <c r="A876" s="26">
        <v>43419</v>
      </c>
      <c r="B876" s="27">
        <v>143.06513977050781</v>
      </c>
      <c r="C876" s="27">
        <f t="shared" si="29"/>
        <v>4.9633000494115445</v>
      </c>
      <c r="D876" s="29">
        <f t="shared" si="30"/>
        <v>-5.1729507353281967E-4</v>
      </c>
    </row>
    <row r="877" spans="1:4" x14ac:dyDescent="0.3">
      <c r="A877" s="26">
        <v>43420</v>
      </c>
      <c r="B877" s="27">
        <v>138.7687072753906</v>
      </c>
      <c r="C877" s="27">
        <f t="shared" si="29"/>
        <v>4.932808570748195</v>
      </c>
      <c r="D877" s="29">
        <f t="shared" si="30"/>
        <v>-6.1433881409133084E-3</v>
      </c>
    </row>
    <row r="878" spans="1:4" x14ac:dyDescent="0.3">
      <c r="A878" s="26">
        <v>43423</v>
      </c>
      <c r="B878" s="27">
        <v>130.83226013183591</v>
      </c>
      <c r="C878" s="27">
        <f t="shared" si="29"/>
        <v>4.873916045706717</v>
      </c>
      <c r="D878" s="29">
        <f t="shared" si="30"/>
        <v>-1.1938943949845071E-2</v>
      </c>
    </row>
    <row r="879" spans="1:4" x14ac:dyDescent="0.3">
      <c r="A879" s="26">
        <v>43424</v>
      </c>
      <c r="B879" s="27">
        <v>131.70744323730469</v>
      </c>
      <c r="C879" s="27">
        <f t="shared" si="29"/>
        <v>4.8805831237604682</v>
      </c>
      <c r="D879" s="29">
        <f t="shared" si="30"/>
        <v>1.3679099088348412E-3</v>
      </c>
    </row>
    <row r="880" spans="1:4" x14ac:dyDescent="0.3">
      <c r="A880" s="26">
        <v>43425</v>
      </c>
      <c r="B880" s="27">
        <v>134.08441162109381</v>
      </c>
      <c r="C880" s="27">
        <f t="shared" si="29"/>
        <v>4.8984695390944371</v>
      </c>
      <c r="D880" s="29">
        <f t="shared" si="30"/>
        <v>3.6648111261319283E-3</v>
      </c>
    </row>
    <row r="881" spans="1:4" x14ac:dyDescent="0.3">
      <c r="A881" s="26">
        <v>43427</v>
      </c>
      <c r="B881" s="27">
        <v>131.0112609863281</v>
      </c>
      <c r="C881" s="27">
        <f t="shared" si="29"/>
        <v>4.8752832812343492</v>
      </c>
      <c r="D881" s="29">
        <f t="shared" si="30"/>
        <v>-4.7333677743710556E-3</v>
      </c>
    </row>
    <row r="882" spans="1:4" x14ac:dyDescent="0.3">
      <c r="A882" s="26">
        <v>43430</v>
      </c>
      <c r="B882" s="27">
        <v>135.63587951660159</v>
      </c>
      <c r="C882" s="27">
        <f t="shared" si="29"/>
        <v>4.9099739387113903</v>
      </c>
      <c r="D882" s="29">
        <f t="shared" si="30"/>
        <v>7.1156188216940919E-3</v>
      </c>
    </row>
    <row r="883" spans="1:4" x14ac:dyDescent="0.3">
      <c r="A883" s="26">
        <v>43431</v>
      </c>
      <c r="B883" s="27">
        <v>134.26344299316409</v>
      </c>
      <c r="C883" s="27">
        <f t="shared" si="29"/>
        <v>4.8998038624031901</v>
      </c>
      <c r="D883" s="29">
        <f t="shared" si="30"/>
        <v>-2.0713096312012791E-3</v>
      </c>
    </row>
    <row r="884" spans="1:4" x14ac:dyDescent="0.3">
      <c r="A884" s="26">
        <v>43432</v>
      </c>
      <c r="B884" s="27">
        <v>136.01380920410159</v>
      </c>
      <c r="C884" s="27">
        <f t="shared" si="29"/>
        <v>4.9127564188468442</v>
      </c>
      <c r="D884" s="29">
        <f t="shared" si="30"/>
        <v>2.6434846796707934E-3</v>
      </c>
    </row>
    <row r="885" spans="1:4" x14ac:dyDescent="0.3">
      <c r="A885" s="26">
        <v>43433</v>
      </c>
      <c r="B885" s="27">
        <v>137.92333984375</v>
      </c>
      <c r="C885" s="27">
        <f t="shared" si="29"/>
        <v>4.9266980224266366</v>
      </c>
      <c r="D885" s="29">
        <f t="shared" si="30"/>
        <v>2.837837334313642E-3</v>
      </c>
    </row>
    <row r="886" spans="1:4" x14ac:dyDescent="0.3">
      <c r="A886" s="26">
        <v>43434</v>
      </c>
      <c r="B886" s="27">
        <v>139.8428039550781</v>
      </c>
      <c r="C886" s="27">
        <f t="shared" si="29"/>
        <v>4.94051896287238</v>
      </c>
      <c r="D886" s="29">
        <f t="shared" si="30"/>
        <v>2.8053151183267122E-3</v>
      </c>
    </row>
    <row r="887" spans="1:4" x14ac:dyDescent="0.3">
      <c r="A887" s="26">
        <v>43437</v>
      </c>
      <c r="B887" s="27">
        <v>140.3201904296875</v>
      </c>
      <c r="C887" s="27">
        <f t="shared" si="29"/>
        <v>4.9439268857330401</v>
      </c>
      <c r="D887" s="29">
        <f t="shared" si="30"/>
        <v>6.8979046255468468E-4</v>
      </c>
    </row>
    <row r="888" spans="1:4" x14ac:dyDescent="0.3">
      <c r="A888" s="26">
        <v>43438</v>
      </c>
      <c r="B888" s="27">
        <v>137.17742919921881</v>
      </c>
      <c r="C888" s="27">
        <f t="shared" si="29"/>
        <v>4.9212751915487205</v>
      </c>
      <c r="D888" s="29">
        <f t="shared" si="30"/>
        <v>-4.5817211111448541E-3</v>
      </c>
    </row>
    <row r="889" spans="1:4" x14ac:dyDescent="0.3">
      <c r="A889" s="26">
        <v>43440</v>
      </c>
      <c r="B889" s="27">
        <v>138.8681640625</v>
      </c>
      <c r="C889" s="27">
        <f t="shared" si="29"/>
        <v>4.9335250230759025</v>
      </c>
      <c r="D889" s="29">
        <f t="shared" si="30"/>
        <v>2.4891580028318927E-3</v>
      </c>
    </row>
    <row r="890" spans="1:4" x14ac:dyDescent="0.3">
      <c r="A890" s="26">
        <v>43441</v>
      </c>
      <c r="B890" s="27">
        <v>136.67021179199219</v>
      </c>
      <c r="C890" s="27">
        <f t="shared" si="29"/>
        <v>4.9175708106352154</v>
      </c>
      <c r="D890" s="29">
        <f t="shared" si="30"/>
        <v>-3.2338363271825488E-3</v>
      </c>
    </row>
    <row r="891" spans="1:4" x14ac:dyDescent="0.3">
      <c r="A891" s="26">
        <v>43444</v>
      </c>
      <c r="B891" s="27">
        <v>141.07606506347659</v>
      </c>
      <c r="C891" s="27">
        <f t="shared" si="29"/>
        <v>4.9492992134526252</v>
      </c>
      <c r="D891" s="29">
        <f t="shared" si="30"/>
        <v>6.4520479804359709E-3</v>
      </c>
    </row>
    <row r="892" spans="1:4" x14ac:dyDescent="0.3">
      <c r="A892" s="26">
        <v>43445</v>
      </c>
      <c r="B892" s="27">
        <v>141.3048095703125</v>
      </c>
      <c r="C892" s="27">
        <f t="shared" si="29"/>
        <v>4.9509193271176599</v>
      </c>
      <c r="D892" s="29">
        <f t="shared" si="30"/>
        <v>3.2734203271256312E-4</v>
      </c>
    </row>
    <row r="893" spans="1:4" x14ac:dyDescent="0.3">
      <c r="A893" s="26">
        <v>43446</v>
      </c>
      <c r="B893" s="27">
        <v>143.71159362792969</v>
      </c>
      <c r="C893" s="27">
        <f t="shared" si="29"/>
        <v>4.9678084692176965</v>
      </c>
      <c r="D893" s="29">
        <f t="shared" si="30"/>
        <v>3.4113143406577784E-3</v>
      </c>
    </row>
    <row r="894" spans="1:4" x14ac:dyDescent="0.3">
      <c r="A894" s="26">
        <v>43447</v>
      </c>
      <c r="B894" s="27">
        <v>144.21879577636719</v>
      </c>
      <c r="C894" s="27">
        <f t="shared" si="29"/>
        <v>4.9713315615464388</v>
      </c>
      <c r="D894" s="29">
        <f t="shared" si="30"/>
        <v>7.0918441211498262E-4</v>
      </c>
    </row>
    <row r="895" spans="1:4" x14ac:dyDescent="0.3">
      <c r="A895" s="26">
        <v>43448</v>
      </c>
      <c r="B895" s="27">
        <v>143.27397155761719</v>
      </c>
      <c r="C895" s="27">
        <f t="shared" si="29"/>
        <v>4.9647586823113032</v>
      </c>
      <c r="D895" s="29">
        <f t="shared" si="30"/>
        <v>-1.3221566805113882E-3</v>
      </c>
    </row>
    <row r="896" spans="1:4" x14ac:dyDescent="0.3">
      <c r="A896" s="26">
        <v>43451</v>
      </c>
      <c r="B896" s="27">
        <v>139.42510986328119</v>
      </c>
      <c r="C896" s="27">
        <f t="shared" si="29"/>
        <v>4.9375276102493517</v>
      </c>
      <c r="D896" s="29">
        <f t="shared" si="30"/>
        <v>-5.4848732444885417E-3</v>
      </c>
    </row>
    <row r="897" spans="1:4" x14ac:dyDescent="0.3">
      <c r="A897" s="26">
        <v>43452</v>
      </c>
      <c r="B897" s="27">
        <v>142.87615966796881</v>
      </c>
      <c r="C897" s="27">
        <f t="shared" si="29"/>
        <v>4.9619782387432334</v>
      </c>
      <c r="D897" s="29">
        <f t="shared" si="30"/>
        <v>4.9519983327539485E-3</v>
      </c>
    </row>
    <row r="898" spans="1:4" x14ac:dyDescent="0.3">
      <c r="A898" s="26">
        <v>43453</v>
      </c>
      <c r="B898" s="27">
        <v>132.5130310058594</v>
      </c>
      <c r="C898" s="27">
        <f t="shared" si="29"/>
        <v>4.8866809878045396</v>
      </c>
      <c r="D898" s="29">
        <f t="shared" si="30"/>
        <v>-1.5174845054895858E-2</v>
      </c>
    </row>
    <row r="899" spans="1:4" x14ac:dyDescent="0.3">
      <c r="A899" s="26">
        <v>43454</v>
      </c>
      <c r="B899" s="27">
        <v>132.67213439941409</v>
      </c>
      <c r="C899" s="27">
        <f t="shared" ref="C899:C962" si="31">LN(B899)</f>
        <v>4.8878809298329875</v>
      </c>
      <c r="D899" s="29">
        <f t="shared" si="30"/>
        <v>2.4555358359634738E-4</v>
      </c>
    </row>
    <row r="900" spans="1:4" x14ac:dyDescent="0.3">
      <c r="A900" s="26">
        <v>43455</v>
      </c>
      <c r="B900" s="27">
        <v>124.26824951171881</v>
      </c>
      <c r="C900" s="27">
        <f t="shared" si="31"/>
        <v>4.8224425315492132</v>
      </c>
      <c r="D900" s="29">
        <f t="shared" ref="D900:D963" si="32">C900/C899-1</f>
        <v>-1.3387887148472388E-2</v>
      </c>
    </row>
    <row r="901" spans="1:4" x14ac:dyDescent="0.3">
      <c r="A901" s="26">
        <v>43458</v>
      </c>
      <c r="B901" s="27">
        <v>123.3831024169922</v>
      </c>
      <c r="C901" s="27">
        <f t="shared" si="31"/>
        <v>4.8152941686833195</v>
      </c>
      <c r="D901" s="29">
        <f t="shared" si="32"/>
        <v>-1.4823116748676757E-3</v>
      </c>
    </row>
    <row r="902" spans="1:4" x14ac:dyDescent="0.3">
      <c r="A902" s="26">
        <v>43460</v>
      </c>
      <c r="B902" s="27">
        <v>133.4479064941406</v>
      </c>
      <c r="C902" s="27">
        <f t="shared" si="31"/>
        <v>4.8937111881601583</v>
      </c>
      <c r="D902" s="29">
        <f t="shared" si="32"/>
        <v>1.6284990434609403E-2</v>
      </c>
    </row>
    <row r="903" spans="1:4" x14ac:dyDescent="0.3">
      <c r="A903" s="26">
        <v>43461</v>
      </c>
      <c r="B903" s="27">
        <v>133.7860412597656</v>
      </c>
      <c r="C903" s="27">
        <f t="shared" si="31"/>
        <v>4.8962418168390407</v>
      </c>
      <c r="D903" s="29">
        <f t="shared" si="32"/>
        <v>5.1711851835567479E-4</v>
      </c>
    </row>
    <row r="904" spans="1:4" x14ac:dyDescent="0.3">
      <c r="A904" s="26">
        <v>43462</v>
      </c>
      <c r="B904" s="27">
        <v>132.4732360839844</v>
      </c>
      <c r="C904" s="27">
        <f t="shared" si="31"/>
        <v>4.8863806332041966</v>
      </c>
      <c r="D904" s="29">
        <f t="shared" si="32"/>
        <v>-2.0140311699740066E-3</v>
      </c>
    </row>
    <row r="905" spans="1:4" x14ac:dyDescent="0.3">
      <c r="A905" s="26">
        <v>43465</v>
      </c>
      <c r="B905" s="27">
        <v>130.37474060058591</v>
      </c>
      <c r="C905" s="27">
        <f t="shared" si="31"/>
        <v>4.870412923678197</v>
      </c>
      <c r="D905" s="29">
        <f t="shared" si="32"/>
        <v>-3.2677989548122177E-3</v>
      </c>
    </row>
    <row r="906" spans="1:4" x14ac:dyDescent="0.3">
      <c r="A906" s="26">
        <v>43467</v>
      </c>
      <c r="B906" s="27">
        <v>134.93971252441409</v>
      </c>
      <c r="C906" s="27">
        <f t="shared" si="31"/>
        <v>4.9048281048013829</v>
      </c>
      <c r="D906" s="29">
        <f t="shared" si="32"/>
        <v>7.0661731689876106E-3</v>
      </c>
    </row>
    <row r="907" spans="1:4" x14ac:dyDescent="0.3">
      <c r="A907" s="26">
        <v>43468</v>
      </c>
      <c r="B907" s="27">
        <v>131.02122497558591</v>
      </c>
      <c r="C907" s="27">
        <f t="shared" si="31"/>
        <v>4.8753593327912856</v>
      </c>
      <c r="D907" s="29">
        <f t="shared" si="32"/>
        <v>-6.0081151429649537E-3</v>
      </c>
    </row>
    <row r="908" spans="1:4" x14ac:dyDescent="0.3">
      <c r="A908" s="26">
        <v>43469</v>
      </c>
      <c r="B908" s="27">
        <v>137.19734191894531</v>
      </c>
      <c r="C908" s="27">
        <f t="shared" si="31"/>
        <v>4.9214203413354909</v>
      </c>
      <c r="D908" s="29">
        <f t="shared" si="32"/>
        <v>9.4477156246519645E-3</v>
      </c>
    </row>
    <row r="909" spans="1:4" x14ac:dyDescent="0.3">
      <c r="A909" s="26">
        <v>43472</v>
      </c>
      <c r="B909" s="27">
        <v>137.29676818847659</v>
      </c>
      <c r="C909" s="27">
        <f t="shared" si="31"/>
        <v>4.9221447741755302</v>
      </c>
      <c r="D909" s="29">
        <f t="shared" si="32"/>
        <v>1.4719995241097017E-4</v>
      </c>
    </row>
    <row r="910" spans="1:4" x14ac:dyDescent="0.3">
      <c r="A910" s="26">
        <v>43473</v>
      </c>
      <c r="B910" s="27">
        <v>141.7523193359375</v>
      </c>
      <c r="C910" s="27">
        <f t="shared" si="31"/>
        <v>4.9540813046322922</v>
      </c>
      <c r="D910" s="29">
        <f t="shared" si="32"/>
        <v>6.488336268433148E-3</v>
      </c>
    </row>
    <row r="911" spans="1:4" x14ac:dyDescent="0.3">
      <c r="A911" s="26">
        <v>43474</v>
      </c>
      <c r="B911" s="27">
        <v>143.44303894042969</v>
      </c>
      <c r="C911" s="27">
        <f t="shared" si="31"/>
        <v>4.9659380152159969</v>
      </c>
      <c r="D911" s="29">
        <f t="shared" si="32"/>
        <v>2.3933217592972955E-3</v>
      </c>
    </row>
    <row r="912" spans="1:4" x14ac:dyDescent="0.3">
      <c r="A912" s="26">
        <v>43475</v>
      </c>
      <c r="B912" s="27">
        <v>143.4132080078125</v>
      </c>
      <c r="C912" s="27">
        <f t="shared" si="31"/>
        <v>4.9657300299757088</v>
      </c>
      <c r="D912" s="29">
        <f t="shared" si="32"/>
        <v>-4.1882367369683315E-5</v>
      </c>
    </row>
    <row r="913" spans="1:4" x14ac:dyDescent="0.3">
      <c r="A913" s="26">
        <v>43476</v>
      </c>
      <c r="B913" s="27">
        <v>143.0154113769531</v>
      </c>
      <c r="C913" s="27">
        <f t="shared" si="31"/>
        <v>4.9629523963197419</v>
      </c>
      <c r="D913" s="29">
        <f t="shared" si="32"/>
        <v>-5.5936058529149069E-4</v>
      </c>
    </row>
    <row r="914" spans="1:4" x14ac:dyDescent="0.3">
      <c r="A914" s="26">
        <v>43479</v>
      </c>
      <c r="B914" s="27">
        <v>144.59672546386719</v>
      </c>
      <c r="C914" s="27">
        <f t="shared" si="31"/>
        <v>4.9739486639901545</v>
      </c>
      <c r="D914" s="29">
        <f t="shared" si="32"/>
        <v>2.2156705912728114E-3</v>
      </c>
    </row>
    <row r="915" spans="1:4" x14ac:dyDescent="0.3">
      <c r="A915" s="26">
        <v>43480</v>
      </c>
      <c r="B915" s="27">
        <v>148.1372985839844</v>
      </c>
      <c r="C915" s="27">
        <f t="shared" si="31"/>
        <v>4.9981395368578125</v>
      </c>
      <c r="D915" s="29">
        <f t="shared" si="32"/>
        <v>4.8635147851028293E-3</v>
      </c>
    </row>
    <row r="916" spans="1:4" x14ac:dyDescent="0.3">
      <c r="A916" s="26">
        <v>43481</v>
      </c>
      <c r="B916" s="27">
        <v>146.73500061035159</v>
      </c>
      <c r="C916" s="27">
        <f t="shared" si="31"/>
        <v>4.988628242992716</v>
      </c>
      <c r="D916" s="29">
        <f t="shared" si="32"/>
        <v>-1.9029668529574328E-3</v>
      </c>
    </row>
    <row r="917" spans="1:4" x14ac:dyDescent="0.3">
      <c r="A917" s="26">
        <v>43482</v>
      </c>
      <c r="B917" s="27">
        <v>147.4908752441406</v>
      </c>
      <c r="C917" s="27">
        <f t="shared" si="31"/>
        <v>4.9937663111147064</v>
      </c>
      <c r="D917" s="29">
        <f t="shared" si="32"/>
        <v>1.029956106512353E-3</v>
      </c>
    </row>
    <row r="918" spans="1:4" x14ac:dyDescent="0.3">
      <c r="A918" s="26">
        <v>43483</v>
      </c>
      <c r="B918" s="27">
        <v>149.2213439941406</v>
      </c>
      <c r="C918" s="27">
        <f t="shared" si="31"/>
        <v>5.0054307337990851</v>
      </c>
      <c r="D918" s="29">
        <f t="shared" si="32"/>
        <v>2.3357966628148041E-3</v>
      </c>
    </row>
    <row r="919" spans="1:4" x14ac:dyDescent="0.3">
      <c r="A919" s="26">
        <v>43487</v>
      </c>
      <c r="B919" s="27">
        <v>146.76483154296881</v>
      </c>
      <c r="C919" s="27">
        <f t="shared" si="31"/>
        <v>4.9888315203336333</v>
      </c>
      <c r="D919" s="29">
        <f t="shared" si="32"/>
        <v>-3.31624076892445E-3</v>
      </c>
    </row>
    <row r="920" spans="1:4" x14ac:dyDescent="0.3">
      <c r="A920" s="26">
        <v>43488</v>
      </c>
      <c r="B920" s="27">
        <v>143.51268005371091</v>
      </c>
      <c r="C920" s="27">
        <f t="shared" si="31"/>
        <v>4.9664233940395484</v>
      </c>
      <c r="D920" s="29">
        <f t="shared" si="32"/>
        <v>-4.4916582576006725E-3</v>
      </c>
    </row>
    <row r="921" spans="1:4" x14ac:dyDescent="0.3">
      <c r="A921" s="26">
        <v>43489</v>
      </c>
      <c r="B921" s="27">
        <v>145.0343322753906</v>
      </c>
      <c r="C921" s="27">
        <f t="shared" si="31"/>
        <v>4.976970488706999</v>
      </c>
      <c r="D921" s="29">
        <f t="shared" si="32"/>
        <v>2.1236801276565132E-3</v>
      </c>
    </row>
    <row r="922" spans="1:4" x14ac:dyDescent="0.3">
      <c r="A922" s="26">
        <v>43490</v>
      </c>
      <c r="B922" s="27">
        <v>148.19697570800781</v>
      </c>
      <c r="C922" s="27">
        <f t="shared" si="31"/>
        <v>4.9985423058252074</v>
      </c>
      <c r="D922" s="29">
        <f t="shared" si="32"/>
        <v>4.33432690974489E-3</v>
      </c>
    </row>
    <row r="923" spans="1:4" x14ac:dyDescent="0.3">
      <c r="A923" s="26">
        <v>43493</v>
      </c>
      <c r="B923" s="27">
        <v>146.66539001464841</v>
      </c>
      <c r="C923" s="27">
        <f t="shared" si="31"/>
        <v>4.9881537337607345</v>
      </c>
      <c r="D923" s="29">
        <f t="shared" si="32"/>
        <v>-2.0783203239804759E-3</v>
      </c>
    </row>
    <row r="924" spans="1:4" x14ac:dyDescent="0.3">
      <c r="A924" s="26">
        <v>43494</v>
      </c>
      <c r="B924" s="27">
        <v>143.4032897949219</v>
      </c>
      <c r="C924" s="27">
        <f t="shared" si="31"/>
        <v>4.9656608692895521</v>
      </c>
      <c r="D924" s="29">
        <f t="shared" si="32"/>
        <v>-4.509256464760969E-3</v>
      </c>
    </row>
    <row r="925" spans="1:4" x14ac:dyDescent="0.3">
      <c r="A925" s="26">
        <v>43495</v>
      </c>
      <c r="B925" s="27">
        <v>149.59928894042969</v>
      </c>
      <c r="C925" s="27">
        <f t="shared" si="31"/>
        <v>5.0079603124570866</v>
      </c>
      <c r="D925" s="29">
        <f t="shared" si="32"/>
        <v>8.518391465099473E-3</v>
      </c>
    </row>
    <row r="926" spans="1:4" x14ac:dyDescent="0.3">
      <c r="A926" s="26">
        <v>43496</v>
      </c>
      <c r="B926" s="27">
        <v>165.780517578125</v>
      </c>
      <c r="C926" s="27">
        <f t="shared" si="31"/>
        <v>5.1106647302367127</v>
      </c>
      <c r="D926" s="29">
        <f t="shared" si="32"/>
        <v>2.0508233167134682E-2</v>
      </c>
    </row>
    <row r="927" spans="1:4" x14ac:dyDescent="0.3">
      <c r="A927" s="26">
        <v>43497</v>
      </c>
      <c r="B927" s="27">
        <v>164.80586242675781</v>
      </c>
      <c r="C927" s="27">
        <f t="shared" si="31"/>
        <v>5.1047681898205672</v>
      </c>
      <c r="D927" s="29">
        <f t="shared" si="32"/>
        <v>-1.1537717160859939E-3</v>
      </c>
    </row>
    <row r="928" spans="1:4" x14ac:dyDescent="0.3">
      <c r="A928" s="26">
        <v>43500</v>
      </c>
      <c r="B928" s="27">
        <v>168.32655334472659</v>
      </c>
      <c r="C928" s="27">
        <f t="shared" si="31"/>
        <v>5.1259058626360634</v>
      </c>
      <c r="D928" s="29">
        <f t="shared" si="32"/>
        <v>4.140770360081536E-3</v>
      </c>
    </row>
    <row r="929" spans="1:4" x14ac:dyDescent="0.3">
      <c r="A929" s="26">
        <v>43501</v>
      </c>
      <c r="B929" s="27">
        <v>170.22615051269531</v>
      </c>
      <c r="C929" s="27">
        <f t="shared" si="31"/>
        <v>5.1371278501224875</v>
      </c>
      <c r="D929" s="29">
        <f t="shared" si="32"/>
        <v>2.1892691335250181E-3</v>
      </c>
    </row>
    <row r="930" spans="1:4" x14ac:dyDescent="0.3">
      <c r="A930" s="26">
        <v>43502</v>
      </c>
      <c r="B930" s="27">
        <v>169.55979919433591</v>
      </c>
      <c r="C930" s="27">
        <f t="shared" si="31"/>
        <v>5.1332056622087645</v>
      </c>
      <c r="D930" s="29">
        <f t="shared" si="32"/>
        <v>-7.6349820914611843E-4</v>
      </c>
    </row>
    <row r="931" spans="1:4" x14ac:dyDescent="0.3">
      <c r="A931" s="26">
        <v>43503</v>
      </c>
      <c r="B931" s="27">
        <v>165.47221374511719</v>
      </c>
      <c r="C931" s="27">
        <f t="shared" si="31"/>
        <v>5.1088032879427994</v>
      </c>
      <c r="D931" s="29">
        <f t="shared" si="32"/>
        <v>-4.7538275050263978E-3</v>
      </c>
    </row>
    <row r="932" spans="1:4" x14ac:dyDescent="0.3">
      <c r="A932" s="26">
        <v>43504</v>
      </c>
      <c r="B932" s="27">
        <v>166.41703796386719</v>
      </c>
      <c r="C932" s="27">
        <f t="shared" si="31"/>
        <v>5.1144969147552235</v>
      </c>
      <c r="D932" s="29">
        <f t="shared" si="32"/>
        <v>1.1144736822930046E-3</v>
      </c>
    </row>
    <row r="933" spans="1:4" x14ac:dyDescent="0.3">
      <c r="A933" s="26">
        <v>43507</v>
      </c>
      <c r="B933" s="27">
        <v>164.8854064941406</v>
      </c>
      <c r="C933" s="27">
        <f t="shared" si="31"/>
        <v>5.1052507265233835</v>
      </c>
      <c r="D933" s="29">
        <f t="shared" si="32"/>
        <v>-1.8078392432234747E-3</v>
      </c>
    </row>
    <row r="934" spans="1:4" x14ac:dyDescent="0.3">
      <c r="A934" s="26">
        <v>43508</v>
      </c>
      <c r="B934" s="27">
        <v>164.13951110839841</v>
      </c>
      <c r="C934" s="27">
        <f t="shared" si="31"/>
        <v>5.100716743693404</v>
      </c>
      <c r="D934" s="29">
        <f t="shared" si="32"/>
        <v>-8.8810189212140678E-4</v>
      </c>
    </row>
    <row r="935" spans="1:4" x14ac:dyDescent="0.3">
      <c r="A935" s="26">
        <v>43509</v>
      </c>
      <c r="B935" s="27">
        <v>163.1748046875</v>
      </c>
      <c r="C935" s="27">
        <f t="shared" si="31"/>
        <v>5.0948220475694388</v>
      </c>
      <c r="D935" s="29">
        <f t="shared" si="32"/>
        <v>-1.1556603552340672E-3</v>
      </c>
    </row>
    <row r="936" spans="1:4" x14ac:dyDescent="0.3">
      <c r="A936" s="26">
        <v>43510</v>
      </c>
      <c r="B936" s="27">
        <v>163.05546569824219</v>
      </c>
      <c r="C936" s="27">
        <f t="shared" si="31"/>
        <v>5.0940904232818456</v>
      </c>
      <c r="D936" s="29">
        <f t="shared" si="32"/>
        <v>-1.4360153912384988E-4</v>
      </c>
    </row>
    <row r="937" spans="1:4" x14ac:dyDescent="0.3">
      <c r="A937" s="26">
        <v>43511</v>
      </c>
      <c r="B937" s="27">
        <v>161.6133728027344</v>
      </c>
      <c r="C937" s="27">
        <f t="shared" si="31"/>
        <v>5.0852068951553644</v>
      </c>
      <c r="D937" s="29">
        <f t="shared" si="32"/>
        <v>-1.7438889749346043E-3</v>
      </c>
    </row>
    <row r="938" spans="1:4" x14ac:dyDescent="0.3">
      <c r="A938" s="26">
        <v>43515</v>
      </c>
      <c r="B938" s="27">
        <v>161.40452575683591</v>
      </c>
      <c r="C938" s="27">
        <f t="shared" si="31"/>
        <v>5.083913796067475</v>
      </c>
      <c r="D938" s="29">
        <f t="shared" si="32"/>
        <v>-2.5428642620639597E-4</v>
      </c>
    </row>
    <row r="939" spans="1:4" x14ac:dyDescent="0.3">
      <c r="A939" s="26">
        <v>43516</v>
      </c>
      <c r="B939" s="27">
        <v>161.67304992675781</v>
      </c>
      <c r="C939" s="27">
        <f t="shared" si="31"/>
        <v>5.0855760855729359</v>
      </c>
      <c r="D939" s="29">
        <f t="shared" si="32"/>
        <v>3.269704350115088E-4</v>
      </c>
    </row>
    <row r="940" spans="1:4" x14ac:dyDescent="0.3">
      <c r="A940" s="26">
        <v>43517</v>
      </c>
      <c r="B940" s="27">
        <v>159.1667785644531</v>
      </c>
      <c r="C940" s="27">
        <f t="shared" si="31"/>
        <v>5.0699525742751703</v>
      </c>
      <c r="D940" s="29">
        <f t="shared" si="32"/>
        <v>-3.0721222207426013E-3</v>
      </c>
    </row>
    <row r="941" spans="1:4" x14ac:dyDescent="0.3">
      <c r="A941" s="26">
        <v>43518</v>
      </c>
      <c r="B941" s="27">
        <v>161.0067138671875</v>
      </c>
      <c r="C941" s="27">
        <f t="shared" si="31"/>
        <v>5.0814460651534308</v>
      </c>
      <c r="D941" s="29">
        <f t="shared" si="32"/>
        <v>2.2669819312666206E-3</v>
      </c>
    </row>
    <row r="942" spans="1:4" x14ac:dyDescent="0.3">
      <c r="A942" s="26">
        <v>43521</v>
      </c>
      <c r="B942" s="27">
        <v>163.7218017578125</v>
      </c>
      <c r="C942" s="27">
        <f t="shared" si="31"/>
        <v>5.0981686566809961</v>
      </c>
      <c r="D942" s="29">
        <f t="shared" si="32"/>
        <v>3.29091193985942E-3</v>
      </c>
    </row>
    <row r="943" spans="1:4" x14ac:dyDescent="0.3">
      <c r="A943" s="26">
        <v>43522</v>
      </c>
      <c r="B943" s="27">
        <v>163.2344970703125</v>
      </c>
      <c r="C943" s="27">
        <f t="shared" si="31"/>
        <v>5.0951877992998975</v>
      </c>
      <c r="D943" s="29">
        <f t="shared" si="32"/>
        <v>-5.8469179460984844E-4</v>
      </c>
    </row>
    <row r="944" spans="1:4" x14ac:dyDescent="0.3">
      <c r="A944" s="26">
        <v>43523</v>
      </c>
      <c r="B944" s="27">
        <v>161.92170715332031</v>
      </c>
      <c r="C944" s="27">
        <f t="shared" si="31"/>
        <v>5.087112929233494</v>
      </c>
      <c r="D944" s="29">
        <f t="shared" si="32"/>
        <v>-1.5848032269807355E-3</v>
      </c>
    </row>
    <row r="945" spans="1:4" x14ac:dyDescent="0.3">
      <c r="A945" s="26">
        <v>43524</v>
      </c>
      <c r="B945" s="27">
        <v>160.56910705566409</v>
      </c>
      <c r="C945" s="27">
        <f t="shared" si="31"/>
        <v>5.0787244234554167</v>
      </c>
      <c r="D945" s="29">
        <f t="shared" si="32"/>
        <v>-1.6489718028219746E-3</v>
      </c>
    </row>
    <row r="946" spans="1:4" x14ac:dyDescent="0.3">
      <c r="A946" s="26">
        <v>43525</v>
      </c>
      <c r="B946" s="27">
        <v>161.39457702636719</v>
      </c>
      <c r="C946" s="27">
        <f t="shared" si="31"/>
        <v>5.0838521556825667</v>
      </c>
      <c r="D946" s="29">
        <f t="shared" si="32"/>
        <v>1.0096496284515144E-3</v>
      </c>
    </row>
    <row r="947" spans="1:4" x14ac:dyDescent="0.3">
      <c r="A947" s="26">
        <v>43528</v>
      </c>
      <c r="B947" s="27">
        <v>166.4568176269531</v>
      </c>
      <c r="C947" s="27">
        <f t="shared" si="31"/>
        <v>5.1147359221906665</v>
      </c>
      <c r="D947" s="29">
        <f t="shared" si="32"/>
        <v>6.0748750282950681E-3</v>
      </c>
    </row>
    <row r="948" spans="1:4" x14ac:dyDescent="0.3">
      <c r="A948" s="26">
        <v>43529</v>
      </c>
      <c r="B948" s="27">
        <v>170.32557678222659</v>
      </c>
      <c r="C948" s="27">
        <f t="shared" si="31"/>
        <v>5.1377117630166964</v>
      </c>
      <c r="D948" s="29">
        <f t="shared" si="32"/>
        <v>4.4920874069660499E-3</v>
      </c>
    </row>
    <row r="949" spans="1:4" x14ac:dyDescent="0.3">
      <c r="A949" s="26">
        <v>43530</v>
      </c>
      <c r="B949" s="27">
        <v>171.56874084472659</v>
      </c>
      <c r="C949" s="27">
        <f t="shared" si="31"/>
        <v>5.144984007550665</v>
      </c>
      <c r="D949" s="29">
        <f t="shared" si="32"/>
        <v>1.4154637062975262E-3</v>
      </c>
    </row>
    <row r="950" spans="1:4" x14ac:dyDescent="0.3">
      <c r="A950" s="26">
        <v>43531</v>
      </c>
      <c r="B950" s="27">
        <v>168.20719909667969</v>
      </c>
      <c r="C950" s="27">
        <f t="shared" si="31"/>
        <v>5.1251965474355208</v>
      </c>
      <c r="D950" s="29">
        <f t="shared" si="32"/>
        <v>-3.8459711606692037E-3</v>
      </c>
    </row>
    <row r="951" spans="1:4" x14ac:dyDescent="0.3">
      <c r="A951" s="26">
        <v>43532</v>
      </c>
      <c r="B951" s="27">
        <v>168.67466735839841</v>
      </c>
      <c r="C951" s="27">
        <f t="shared" si="31"/>
        <v>5.127971814425571</v>
      </c>
      <c r="D951" s="29">
        <f t="shared" si="32"/>
        <v>5.4149474354092675E-4</v>
      </c>
    </row>
    <row r="952" spans="1:4" x14ac:dyDescent="0.3">
      <c r="A952" s="26">
        <v>43535</v>
      </c>
      <c r="B952" s="27">
        <v>171.13117980957031</v>
      </c>
      <c r="C952" s="27">
        <f t="shared" si="31"/>
        <v>5.1424303957955395</v>
      </c>
      <c r="D952" s="29">
        <f t="shared" si="32"/>
        <v>2.8195516459927905E-3</v>
      </c>
    </row>
    <row r="953" spans="1:4" x14ac:dyDescent="0.3">
      <c r="A953" s="26">
        <v>43536</v>
      </c>
      <c r="B953" s="27">
        <v>170.98197937011719</v>
      </c>
      <c r="C953" s="27">
        <f t="shared" si="31"/>
        <v>5.1415581671489123</v>
      </c>
      <c r="D953" s="29">
        <f t="shared" si="32"/>
        <v>-1.6961408896076779E-4</v>
      </c>
    </row>
    <row r="954" spans="1:4" x14ac:dyDescent="0.3">
      <c r="A954" s="26">
        <v>43537</v>
      </c>
      <c r="B954" s="27">
        <v>172.424072265625</v>
      </c>
      <c r="C954" s="27">
        <f t="shared" si="31"/>
        <v>5.149956978793238</v>
      </c>
      <c r="D954" s="29">
        <f t="shared" si="32"/>
        <v>1.6335148550858936E-3</v>
      </c>
    </row>
    <row r="955" spans="1:4" x14ac:dyDescent="0.3">
      <c r="A955" s="26">
        <v>43538</v>
      </c>
      <c r="B955" s="27">
        <v>169.24153137207031</v>
      </c>
      <c r="C955" s="27">
        <f t="shared" si="31"/>
        <v>5.1313268743341522</v>
      </c>
      <c r="D955" s="29">
        <f t="shared" si="32"/>
        <v>-3.6175262309572354E-3</v>
      </c>
    </row>
    <row r="956" spans="1:4" x14ac:dyDescent="0.3">
      <c r="A956" s="26">
        <v>43539</v>
      </c>
      <c r="B956" s="27">
        <v>165.0743713378906</v>
      </c>
      <c r="C956" s="27">
        <f t="shared" si="31"/>
        <v>5.106396107731058</v>
      </c>
      <c r="D956" s="29">
        <f t="shared" si="32"/>
        <v>-4.8585418964035565E-3</v>
      </c>
    </row>
    <row r="957" spans="1:4" x14ac:dyDescent="0.3">
      <c r="A957" s="26">
        <v>43542</v>
      </c>
      <c r="B957" s="27">
        <v>159.5944519042969</v>
      </c>
      <c r="C957" s="27">
        <f t="shared" si="31"/>
        <v>5.0726359219070734</v>
      </c>
      <c r="D957" s="29">
        <f t="shared" si="32"/>
        <v>-6.6113527254323401E-3</v>
      </c>
    </row>
    <row r="958" spans="1:4" x14ac:dyDescent="0.3">
      <c r="A958" s="26">
        <v>43543</v>
      </c>
      <c r="B958" s="27">
        <v>160.6884460449219</v>
      </c>
      <c r="C958" s="27">
        <f t="shared" si="31"/>
        <v>5.0794673724917603</v>
      </c>
      <c r="D958" s="29">
        <f t="shared" si="32"/>
        <v>1.3467259803101594E-3</v>
      </c>
    </row>
    <row r="959" spans="1:4" x14ac:dyDescent="0.3">
      <c r="A959" s="26">
        <v>43544</v>
      </c>
      <c r="B959" s="27">
        <v>164.537353515625</v>
      </c>
      <c r="C959" s="27">
        <f t="shared" si="31"/>
        <v>5.1031376174715586</v>
      </c>
      <c r="D959" s="29">
        <f t="shared" si="32"/>
        <v>4.6599856331366318E-3</v>
      </c>
    </row>
    <row r="960" spans="1:4" x14ac:dyDescent="0.3">
      <c r="A960" s="26">
        <v>43545</v>
      </c>
      <c r="B960" s="27">
        <v>165.17384338378909</v>
      </c>
      <c r="C960" s="27">
        <f t="shared" si="31"/>
        <v>5.1069985155229691</v>
      </c>
      <c r="D960" s="29">
        <f t="shared" si="32"/>
        <v>7.5657337520973478E-4</v>
      </c>
    </row>
    <row r="961" spans="1:4" x14ac:dyDescent="0.3">
      <c r="A961" s="26">
        <v>43546</v>
      </c>
      <c r="B961" s="27">
        <v>163.4433288574219</v>
      </c>
      <c r="C961" s="27">
        <f t="shared" si="31"/>
        <v>5.0964663177604814</v>
      </c>
      <c r="D961" s="29">
        <f t="shared" si="32"/>
        <v>-2.0623067992823207E-3</v>
      </c>
    </row>
    <row r="962" spans="1:4" x14ac:dyDescent="0.3">
      <c r="A962" s="26">
        <v>43549</v>
      </c>
      <c r="B962" s="27">
        <v>165.3826904296875</v>
      </c>
      <c r="C962" s="27">
        <f t="shared" si="31"/>
        <v>5.1082621243300803</v>
      </c>
      <c r="D962" s="29">
        <f t="shared" si="32"/>
        <v>2.3145069218828418E-3</v>
      </c>
    </row>
    <row r="963" spans="1:4" x14ac:dyDescent="0.3">
      <c r="A963" s="26">
        <v>43550</v>
      </c>
      <c r="B963" s="27">
        <v>166.7651062011719</v>
      </c>
      <c r="C963" s="27">
        <f t="shared" ref="C963:C1026" si="33">LN(B963)</f>
        <v>5.1165862726036098</v>
      </c>
      <c r="D963" s="29">
        <f t="shared" si="32"/>
        <v>1.6295460316890775E-3</v>
      </c>
    </row>
    <row r="964" spans="1:4" x14ac:dyDescent="0.3">
      <c r="A964" s="26">
        <v>43551</v>
      </c>
      <c r="B964" s="27">
        <v>164.96498107910159</v>
      </c>
      <c r="C964" s="27">
        <f t="shared" si="33"/>
        <v>5.1057332154911252</v>
      </c>
      <c r="D964" s="29">
        <f t="shared" ref="D964:D1027" si="34">C964/C963-1</f>
        <v>-2.1211519818588043E-3</v>
      </c>
    </row>
    <row r="965" spans="1:4" x14ac:dyDescent="0.3">
      <c r="A965" s="26">
        <v>43552</v>
      </c>
      <c r="B965" s="27">
        <v>164.646728515625</v>
      </c>
      <c r="C965" s="27">
        <f t="shared" si="33"/>
        <v>5.1038021392998925</v>
      </c>
      <c r="D965" s="29">
        <f t="shared" si="34"/>
        <v>-3.7821721381248175E-4</v>
      </c>
    </row>
    <row r="966" spans="1:4" x14ac:dyDescent="0.3">
      <c r="A966" s="26">
        <v>43553</v>
      </c>
      <c r="B966" s="27">
        <v>165.780517578125</v>
      </c>
      <c r="C966" s="27">
        <f t="shared" si="33"/>
        <v>5.1106647302367127</v>
      </c>
      <c r="D966" s="29">
        <f t="shared" si="34"/>
        <v>1.3446036404853867E-3</v>
      </c>
    </row>
    <row r="967" spans="1:4" x14ac:dyDescent="0.3">
      <c r="A967" s="26">
        <v>43556</v>
      </c>
      <c r="B967" s="27">
        <v>167.77955627441409</v>
      </c>
      <c r="C967" s="27">
        <f t="shared" si="33"/>
        <v>5.1226509527276454</v>
      </c>
      <c r="D967" s="29">
        <f t="shared" si="34"/>
        <v>2.3453353181275283E-3</v>
      </c>
    </row>
    <row r="968" spans="1:4" x14ac:dyDescent="0.3">
      <c r="A968" s="26">
        <v>43557</v>
      </c>
      <c r="B968" s="27">
        <v>173.2495422363281</v>
      </c>
      <c r="C968" s="27">
        <f t="shared" si="33"/>
        <v>5.1547329958519654</v>
      </c>
      <c r="D968" s="29">
        <f t="shared" si="34"/>
        <v>6.2627814036866347E-3</v>
      </c>
    </row>
    <row r="969" spans="1:4" x14ac:dyDescent="0.3">
      <c r="A969" s="26">
        <v>43558</v>
      </c>
      <c r="B969" s="27">
        <v>172.5931396484375</v>
      </c>
      <c r="C969" s="27">
        <f t="shared" si="33"/>
        <v>5.1509370307472091</v>
      </c>
      <c r="D969" s="29">
        <f t="shared" si="34"/>
        <v>-7.3640382689288408E-4</v>
      </c>
    </row>
    <row r="970" spans="1:4" x14ac:dyDescent="0.3">
      <c r="A970" s="26">
        <v>43559</v>
      </c>
      <c r="B970" s="27">
        <v>175.05961608886719</v>
      </c>
      <c r="C970" s="27">
        <f t="shared" si="33"/>
        <v>5.1651265792758805</v>
      </c>
      <c r="D970" s="29">
        <f t="shared" si="34"/>
        <v>2.7547509208460941E-3</v>
      </c>
    </row>
    <row r="971" spans="1:4" x14ac:dyDescent="0.3">
      <c r="A971" s="26">
        <v>43560</v>
      </c>
      <c r="B971" s="27">
        <v>174.76124572753909</v>
      </c>
      <c r="C971" s="27">
        <f t="shared" si="33"/>
        <v>5.1634207322767534</v>
      </c>
      <c r="D971" s="29">
        <f t="shared" si="34"/>
        <v>-3.3026238039768341E-4</v>
      </c>
    </row>
    <row r="972" spans="1:4" x14ac:dyDescent="0.3">
      <c r="A972" s="26">
        <v>43563</v>
      </c>
      <c r="B972" s="27">
        <v>173.9755554199219</v>
      </c>
      <c r="C972" s="27">
        <f t="shared" si="33"/>
        <v>5.1589148032530305</v>
      </c>
      <c r="D972" s="29">
        <f t="shared" si="34"/>
        <v>-8.7266354174009297E-4</v>
      </c>
    </row>
    <row r="973" spans="1:4" x14ac:dyDescent="0.3">
      <c r="A973" s="26">
        <v>43564</v>
      </c>
      <c r="B973" s="27">
        <v>176.611083984375</v>
      </c>
      <c r="C973" s="27">
        <f t="shared" si="33"/>
        <v>5.1739500494187629</v>
      </c>
      <c r="D973" s="29">
        <f t="shared" si="34"/>
        <v>2.9144203265871749E-3</v>
      </c>
    </row>
    <row r="974" spans="1:4" x14ac:dyDescent="0.3">
      <c r="A974" s="26">
        <v>43565</v>
      </c>
      <c r="B974" s="27">
        <v>176.84980773925781</v>
      </c>
      <c r="C974" s="27">
        <f t="shared" si="33"/>
        <v>5.1753008285107107</v>
      </c>
      <c r="D974" s="29">
        <f t="shared" si="34"/>
        <v>2.6107308324307965E-4</v>
      </c>
    </row>
    <row r="975" spans="1:4" x14ac:dyDescent="0.3">
      <c r="A975" s="26">
        <v>43566</v>
      </c>
      <c r="B975" s="27">
        <v>176.5414733886719</v>
      </c>
      <c r="C975" s="27">
        <f t="shared" si="33"/>
        <v>5.1735558254770053</v>
      </c>
      <c r="D975" s="29">
        <f t="shared" si="34"/>
        <v>-3.3717905326235975E-4</v>
      </c>
    </row>
    <row r="976" spans="1:4" x14ac:dyDescent="0.3">
      <c r="A976" s="26">
        <v>43567</v>
      </c>
      <c r="B976" s="27">
        <v>178.1228332519531</v>
      </c>
      <c r="C976" s="27">
        <f t="shared" si="33"/>
        <v>5.1824733867493693</v>
      </c>
      <c r="D976" s="29">
        <f t="shared" si="34"/>
        <v>1.7236812693601777E-3</v>
      </c>
    </row>
    <row r="977" spans="1:4" x14ac:dyDescent="0.3">
      <c r="A977" s="26">
        <v>43570</v>
      </c>
      <c r="B977" s="27">
        <v>178.66981506347659</v>
      </c>
      <c r="C977" s="27">
        <f t="shared" si="33"/>
        <v>5.185539493871369</v>
      </c>
      <c r="D977" s="29">
        <f t="shared" si="34"/>
        <v>5.9163007567764048E-4</v>
      </c>
    </row>
    <row r="978" spans="1:4" x14ac:dyDescent="0.3">
      <c r="A978" s="26">
        <v>43571</v>
      </c>
      <c r="B978" s="27">
        <v>177.89405822753909</v>
      </c>
      <c r="C978" s="27">
        <f t="shared" si="33"/>
        <v>5.1811881946060829</v>
      </c>
      <c r="D978" s="29">
        <f t="shared" si="34"/>
        <v>-8.3912180602019326E-4</v>
      </c>
    </row>
    <row r="979" spans="1:4" x14ac:dyDescent="0.3">
      <c r="A979" s="26">
        <v>43572</v>
      </c>
      <c r="B979" s="27">
        <v>177.80455017089841</v>
      </c>
      <c r="C979" s="27">
        <f t="shared" si="33"/>
        <v>5.1806849142647113</v>
      </c>
      <c r="D979" s="29">
        <f t="shared" si="34"/>
        <v>-9.713608586836564E-5</v>
      </c>
    </row>
    <row r="980" spans="1:4" x14ac:dyDescent="0.3">
      <c r="A980" s="26">
        <v>43573</v>
      </c>
      <c r="B980" s="27">
        <v>177.3072814941406</v>
      </c>
      <c r="C980" s="27">
        <f t="shared" si="33"/>
        <v>5.1778842810137418</v>
      </c>
      <c r="D980" s="29">
        <f t="shared" si="34"/>
        <v>-5.4059131124883919E-4</v>
      </c>
    </row>
    <row r="981" spans="1:4" x14ac:dyDescent="0.3">
      <c r="A981" s="26">
        <v>43577</v>
      </c>
      <c r="B981" s="27">
        <v>180.4500427246094</v>
      </c>
      <c r="C981" s="27">
        <f t="shared" si="33"/>
        <v>5.1954539678557934</v>
      </c>
      <c r="D981" s="29">
        <f t="shared" si="34"/>
        <v>3.393217362248846E-3</v>
      </c>
    </row>
    <row r="982" spans="1:4" x14ac:dyDescent="0.3">
      <c r="A982" s="26">
        <v>43578</v>
      </c>
      <c r="B982" s="27">
        <v>182.77726745605469</v>
      </c>
      <c r="C982" s="27">
        <f t="shared" si="33"/>
        <v>5.2082682938256122</v>
      </c>
      <c r="D982" s="29">
        <f t="shared" si="34"/>
        <v>2.4664497172144362E-3</v>
      </c>
    </row>
    <row r="983" spans="1:4" x14ac:dyDescent="0.3">
      <c r="A983" s="26">
        <v>43579</v>
      </c>
      <c r="B983" s="27">
        <v>181.58381652832031</v>
      </c>
      <c r="C983" s="27">
        <f t="shared" si="33"/>
        <v>5.2017173461626447</v>
      </c>
      <c r="D983" s="29">
        <f t="shared" si="34"/>
        <v>-1.2577976581454875E-3</v>
      </c>
    </row>
    <row r="984" spans="1:4" x14ac:dyDescent="0.3">
      <c r="A984" s="26">
        <v>43580</v>
      </c>
      <c r="B984" s="27">
        <v>192.20555114746091</v>
      </c>
      <c r="C984" s="27">
        <f t="shared" si="33"/>
        <v>5.2585653782599069</v>
      </c>
      <c r="D984" s="29">
        <f t="shared" si="34"/>
        <v>1.0928704563157199E-2</v>
      </c>
    </row>
    <row r="985" spans="1:4" x14ac:dyDescent="0.3">
      <c r="A985" s="26">
        <v>43581</v>
      </c>
      <c r="B985" s="27">
        <v>190.44520568847659</v>
      </c>
      <c r="C985" s="27">
        <f t="shared" si="33"/>
        <v>5.2493645190108849</v>
      </c>
      <c r="D985" s="29">
        <f t="shared" si="34"/>
        <v>-1.7496899985423031E-3</v>
      </c>
    </row>
    <row r="986" spans="1:4" x14ac:dyDescent="0.3">
      <c r="A986" s="26">
        <v>43584</v>
      </c>
      <c r="B986" s="27">
        <v>193.71726989746091</v>
      </c>
      <c r="C986" s="27">
        <f t="shared" si="33"/>
        <v>5.2663997244017589</v>
      </c>
      <c r="D986" s="29">
        <f t="shared" si="34"/>
        <v>3.2451938380693157E-3</v>
      </c>
    </row>
    <row r="987" spans="1:4" x14ac:dyDescent="0.3">
      <c r="A987" s="26">
        <v>43585</v>
      </c>
      <c r="B987" s="27">
        <v>192.3447570800781</v>
      </c>
      <c r="C987" s="27">
        <f t="shared" si="33"/>
        <v>5.2592893716398077</v>
      </c>
      <c r="D987" s="29">
        <f t="shared" si="34"/>
        <v>-1.3501354120549758E-3</v>
      </c>
    </row>
    <row r="988" spans="1:4" x14ac:dyDescent="0.3">
      <c r="A988" s="26">
        <v>43586</v>
      </c>
      <c r="B988" s="27">
        <v>191.976806640625</v>
      </c>
      <c r="C988" s="27">
        <f t="shared" si="33"/>
        <v>5.2573745659842803</v>
      </c>
      <c r="D988" s="29">
        <f t="shared" si="34"/>
        <v>-3.6408068090965084E-4</v>
      </c>
    </row>
    <row r="989" spans="1:4" x14ac:dyDescent="0.3">
      <c r="A989" s="26">
        <v>43587</v>
      </c>
      <c r="B989" s="27">
        <v>191.4795227050781</v>
      </c>
      <c r="C989" s="27">
        <f t="shared" si="33"/>
        <v>5.2547808718591904</v>
      </c>
      <c r="D989" s="29">
        <f t="shared" si="34"/>
        <v>-4.9334398615452635E-4</v>
      </c>
    </row>
    <row r="990" spans="1:4" x14ac:dyDescent="0.3">
      <c r="A990" s="26">
        <v>43588</v>
      </c>
      <c r="B990" s="27">
        <v>194.40348815917969</v>
      </c>
      <c r="C990" s="27">
        <f t="shared" si="33"/>
        <v>5.2699358350710179</v>
      </c>
      <c r="D990" s="29">
        <f t="shared" si="34"/>
        <v>2.8840333367632365E-3</v>
      </c>
    </row>
    <row r="991" spans="1:4" x14ac:dyDescent="0.3">
      <c r="A991" s="26">
        <v>43591</v>
      </c>
      <c r="B991" s="27">
        <v>192.82215881347659</v>
      </c>
      <c r="C991" s="27">
        <f t="shared" si="33"/>
        <v>5.2617683071774835</v>
      </c>
      <c r="D991" s="29">
        <f t="shared" si="34"/>
        <v>-1.5498344095918881E-3</v>
      </c>
    </row>
    <row r="992" spans="1:4" x14ac:dyDescent="0.3">
      <c r="A992" s="26">
        <v>43592</v>
      </c>
      <c r="B992" s="27">
        <v>188.7345886230469</v>
      </c>
      <c r="C992" s="27">
        <f t="shared" si="33"/>
        <v>5.2403417351163961</v>
      </c>
      <c r="D992" s="29">
        <f t="shared" si="34"/>
        <v>-4.0721238204007859E-3</v>
      </c>
    </row>
    <row r="993" spans="1:4" x14ac:dyDescent="0.3">
      <c r="A993" s="26">
        <v>43593</v>
      </c>
      <c r="B993" s="27">
        <v>188.5058288574219</v>
      </c>
      <c r="C993" s="27">
        <f t="shared" si="33"/>
        <v>5.2391289287305209</v>
      </c>
      <c r="D993" s="29">
        <f t="shared" si="34"/>
        <v>-2.3143650684986916E-4</v>
      </c>
    </row>
    <row r="994" spans="1:4" x14ac:dyDescent="0.3">
      <c r="A994" s="26">
        <v>43594</v>
      </c>
      <c r="B994" s="27">
        <v>187.62071228027341</v>
      </c>
      <c r="C994" s="27">
        <f t="shared" si="33"/>
        <v>5.2344224370890284</v>
      </c>
      <c r="D994" s="29">
        <f t="shared" si="34"/>
        <v>-8.9833476242262567E-4</v>
      </c>
    </row>
    <row r="995" spans="1:4" x14ac:dyDescent="0.3">
      <c r="A995" s="26">
        <v>43595</v>
      </c>
      <c r="B995" s="27">
        <v>187.3123779296875</v>
      </c>
      <c r="C995" s="27">
        <f t="shared" si="33"/>
        <v>5.2327776933833094</v>
      </c>
      <c r="D995" s="29">
        <f t="shared" si="34"/>
        <v>-3.1421684540877681E-4</v>
      </c>
    </row>
    <row r="996" spans="1:4" x14ac:dyDescent="0.3">
      <c r="A996" s="26">
        <v>43598</v>
      </c>
      <c r="B996" s="27">
        <v>180.54949951171881</v>
      </c>
      <c r="C996" s="27">
        <f t="shared" si="33"/>
        <v>5.1960049756992364</v>
      </c>
      <c r="D996" s="29">
        <f t="shared" si="34"/>
        <v>-7.0273800720735968E-3</v>
      </c>
    </row>
    <row r="997" spans="1:4" x14ac:dyDescent="0.3">
      <c r="A997" s="26">
        <v>43599</v>
      </c>
      <c r="B997" s="27">
        <v>179.74391174316409</v>
      </c>
      <c r="C997" s="27">
        <f t="shared" si="33"/>
        <v>5.1915331253358152</v>
      </c>
      <c r="D997" s="29">
        <f t="shared" si="34"/>
        <v>-8.6063242516798422E-4</v>
      </c>
    </row>
    <row r="998" spans="1:4" x14ac:dyDescent="0.3">
      <c r="A998" s="26">
        <v>43600</v>
      </c>
      <c r="B998" s="27">
        <v>185.25367736816409</v>
      </c>
      <c r="C998" s="27">
        <f t="shared" si="33"/>
        <v>5.2217261148194627</v>
      </c>
      <c r="D998" s="29">
        <f t="shared" si="34"/>
        <v>5.8158137017942924E-3</v>
      </c>
    </row>
    <row r="999" spans="1:4" x14ac:dyDescent="0.3">
      <c r="A999" s="26">
        <v>43601</v>
      </c>
      <c r="B999" s="27">
        <v>185.96974182128909</v>
      </c>
      <c r="C999" s="27">
        <f t="shared" si="33"/>
        <v>5.2255839820994723</v>
      </c>
      <c r="D999" s="29">
        <f t="shared" si="34"/>
        <v>7.3881072947523663E-4</v>
      </c>
    </row>
    <row r="1000" spans="1:4" x14ac:dyDescent="0.3">
      <c r="A1000" s="26">
        <v>43602</v>
      </c>
      <c r="B1000" s="27">
        <v>184.28898620605469</v>
      </c>
      <c r="C1000" s="27">
        <f t="shared" si="33"/>
        <v>5.2165051027492915</v>
      </c>
      <c r="D1000" s="29">
        <f t="shared" si="34"/>
        <v>-1.737390381875259E-3</v>
      </c>
    </row>
    <row r="1001" spans="1:4" x14ac:dyDescent="0.3">
      <c r="A1001" s="26">
        <v>43605</v>
      </c>
      <c r="B1001" s="27">
        <v>181.7230529785156</v>
      </c>
      <c r="C1001" s="27">
        <f t="shared" si="33"/>
        <v>5.2024838412041579</v>
      </c>
      <c r="D1001" s="29">
        <f t="shared" si="34"/>
        <v>-2.6878650109521951E-3</v>
      </c>
    </row>
    <row r="1002" spans="1:4" x14ac:dyDescent="0.3">
      <c r="A1002" s="26">
        <v>43606</v>
      </c>
      <c r="B1002" s="27">
        <v>183.8116149902344</v>
      </c>
      <c r="C1002" s="27">
        <f t="shared" si="33"/>
        <v>5.2139114015606136</v>
      </c>
      <c r="D1002" s="29">
        <f t="shared" si="34"/>
        <v>2.1965585488123995E-3</v>
      </c>
    </row>
    <row r="1003" spans="1:4" x14ac:dyDescent="0.3">
      <c r="A1003" s="26">
        <v>43607</v>
      </c>
      <c r="B1003" s="27">
        <v>184.3088684082031</v>
      </c>
      <c r="C1003" s="27">
        <f t="shared" si="33"/>
        <v>5.2166129829331762</v>
      </c>
      <c r="D1003" s="29">
        <f t="shared" si="34"/>
        <v>5.1814869193100854E-4</v>
      </c>
    </row>
    <row r="1004" spans="1:4" x14ac:dyDescent="0.3">
      <c r="A1004" s="26">
        <v>43608</v>
      </c>
      <c r="B1004" s="27">
        <v>179.8831481933594</v>
      </c>
      <c r="C1004" s="27">
        <f t="shared" si="33"/>
        <v>5.1923074633802164</v>
      </c>
      <c r="D1004" s="29">
        <f t="shared" si="34"/>
        <v>-4.6592529736206867E-3</v>
      </c>
    </row>
    <row r="1005" spans="1:4" x14ac:dyDescent="0.3">
      <c r="A1005" s="26">
        <v>43609</v>
      </c>
      <c r="B1005" s="27">
        <v>180.0721130371094</v>
      </c>
      <c r="C1005" s="27">
        <f t="shared" si="33"/>
        <v>5.1933573986441885</v>
      </c>
      <c r="D1005" s="29">
        <f t="shared" si="34"/>
        <v>2.022097634581943E-4</v>
      </c>
    </row>
    <row r="1006" spans="1:4" x14ac:dyDescent="0.3">
      <c r="A1006" s="26">
        <v>43613</v>
      </c>
      <c r="B1006" s="27">
        <v>183.30436706542969</v>
      </c>
      <c r="C1006" s="27">
        <f t="shared" si="33"/>
        <v>5.2111479792505069</v>
      </c>
      <c r="D1006" s="29">
        <f t="shared" si="34"/>
        <v>3.4256414956079784E-3</v>
      </c>
    </row>
    <row r="1007" spans="1:4" x14ac:dyDescent="0.3">
      <c r="A1007" s="26">
        <v>43614</v>
      </c>
      <c r="B1007" s="27">
        <v>181.1959533691406</v>
      </c>
      <c r="C1007" s="27">
        <f t="shared" si="33"/>
        <v>5.1995790609596213</v>
      </c>
      <c r="D1007" s="29">
        <f t="shared" si="34"/>
        <v>-2.2200325795679321E-3</v>
      </c>
    </row>
    <row r="1008" spans="1:4" x14ac:dyDescent="0.3">
      <c r="A1008" s="26">
        <v>43615</v>
      </c>
      <c r="B1008" s="27">
        <v>182.01145935058591</v>
      </c>
      <c r="C1008" s="27">
        <f t="shared" si="33"/>
        <v>5.2040696485594378</v>
      </c>
      <c r="D1008" s="29">
        <f t="shared" si="34"/>
        <v>8.6364445028519476E-4</v>
      </c>
    </row>
    <row r="1009" spans="1:4" x14ac:dyDescent="0.3">
      <c r="A1009" s="26">
        <v>43616</v>
      </c>
      <c r="B1009" s="27">
        <v>176.501708984375</v>
      </c>
      <c r="C1009" s="27">
        <f t="shared" si="33"/>
        <v>5.1733305589574945</v>
      </c>
      <c r="D1009" s="29">
        <f t="shared" si="34"/>
        <v>-5.906740623744744E-3</v>
      </c>
    </row>
    <row r="1010" spans="1:4" x14ac:dyDescent="0.3">
      <c r="A1010" s="26">
        <v>43619</v>
      </c>
      <c r="B1010" s="27">
        <v>163.2543640136719</v>
      </c>
      <c r="C1010" s="27">
        <f t="shared" si="33"/>
        <v>5.095309499889118</v>
      </c>
      <c r="D1010" s="29">
        <f t="shared" si="34"/>
        <v>-1.5081398371748156E-2</v>
      </c>
    </row>
    <row r="1011" spans="1:4" x14ac:dyDescent="0.3">
      <c r="A1011" s="26">
        <v>43620</v>
      </c>
      <c r="B1011" s="27">
        <v>166.58610534667969</v>
      </c>
      <c r="C1011" s="27">
        <f t="shared" si="33"/>
        <v>5.1155123249742278</v>
      </c>
      <c r="D1011" s="29">
        <f t="shared" si="34"/>
        <v>3.9649848719787162E-3</v>
      </c>
    </row>
    <row r="1012" spans="1:4" x14ac:dyDescent="0.3">
      <c r="A1012" s="26">
        <v>43621</v>
      </c>
      <c r="B1012" s="27">
        <v>167.25244140625</v>
      </c>
      <c r="C1012" s="27">
        <f t="shared" si="33"/>
        <v>5.1195042962485839</v>
      </c>
      <c r="D1012" s="29">
        <f t="shared" si="34"/>
        <v>7.8036587945784497E-4</v>
      </c>
    </row>
    <row r="1013" spans="1:4" x14ac:dyDescent="0.3">
      <c r="A1013" s="26">
        <v>43622</v>
      </c>
      <c r="B1013" s="27">
        <v>167.41157531738281</v>
      </c>
      <c r="C1013" s="27">
        <f t="shared" si="33"/>
        <v>5.1204553033194022</v>
      </c>
      <c r="D1013" s="29">
        <f t="shared" si="34"/>
        <v>1.8576155342131528E-4</v>
      </c>
    </row>
    <row r="1014" spans="1:4" x14ac:dyDescent="0.3">
      <c r="A1014" s="26">
        <v>43623</v>
      </c>
      <c r="B1014" s="27">
        <v>172.4041748046875</v>
      </c>
      <c r="C1014" s="27">
        <f t="shared" si="33"/>
        <v>5.1498415737408463</v>
      </c>
      <c r="D1014" s="29">
        <f t="shared" si="34"/>
        <v>5.7389955933009329E-3</v>
      </c>
    </row>
    <row r="1015" spans="1:4" x14ac:dyDescent="0.3">
      <c r="A1015" s="26">
        <v>43626</v>
      </c>
      <c r="B1015" s="27">
        <v>173.86614990234381</v>
      </c>
      <c r="C1015" s="27">
        <f t="shared" si="33"/>
        <v>5.1582857497524772</v>
      </c>
      <c r="D1015" s="29">
        <f t="shared" si="34"/>
        <v>1.6396962684614991E-3</v>
      </c>
    </row>
    <row r="1016" spans="1:4" x14ac:dyDescent="0.3">
      <c r="A1016" s="26">
        <v>43627</v>
      </c>
      <c r="B1016" s="27">
        <v>177.1282653808594</v>
      </c>
      <c r="C1016" s="27">
        <f t="shared" si="33"/>
        <v>5.1768741333009523</v>
      </c>
      <c r="D1016" s="29">
        <f t="shared" si="34"/>
        <v>3.6035970960637265E-3</v>
      </c>
    </row>
    <row r="1017" spans="1:4" x14ac:dyDescent="0.3">
      <c r="A1017" s="26">
        <v>43628</v>
      </c>
      <c r="B1017" s="27">
        <v>174.0849609375</v>
      </c>
      <c r="C1017" s="27">
        <f t="shared" si="33"/>
        <v>5.1595434612940307</v>
      </c>
      <c r="D1017" s="29">
        <f t="shared" si="34"/>
        <v>-3.3477097492944363E-3</v>
      </c>
    </row>
    <row r="1018" spans="1:4" x14ac:dyDescent="0.3">
      <c r="A1018" s="26">
        <v>43629</v>
      </c>
      <c r="B1018" s="27">
        <v>176.501708984375</v>
      </c>
      <c r="C1018" s="27">
        <f t="shared" si="33"/>
        <v>5.1733305589574945</v>
      </c>
      <c r="D1018" s="29">
        <f t="shared" si="34"/>
        <v>2.6721545747006026E-3</v>
      </c>
    </row>
    <row r="1019" spans="1:4" x14ac:dyDescent="0.3">
      <c r="A1019" s="26">
        <v>43630</v>
      </c>
      <c r="B1019" s="27">
        <v>180.34065246582031</v>
      </c>
      <c r="C1019" s="27">
        <f t="shared" si="33"/>
        <v>5.1948475760413739</v>
      </c>
      <c r="D1019" s="29">
        <f t="shared" si="34"/>
        <v>4.1592194503448088E-3</v>
      </c>
    </row>
    <row r="1020" spans="1:4" x14ac:dyDescent="0.3">
      <c r="A1020" s="26">
        <v>43633</v>
      </c>
      <c r="B1020" s="27">
        <v>187.9787292480469</v>
      </c>
      <c r="C1020" s="27">
        <f t="shared" si="33"/>
        <v>5.2363288141312534</v>
      </c>
      <c r="D1020" s="29">
        <f t="shared" si="34"/>
        <v>7.9850731869768321E-3</v>
      </c>
    </row>
    <row r="1021" spans="1:4" x14ac:dyDescent="0.3">
      <c r="A1021" s="26">
        <v>43634</v>
      </c>
      <c r="B1021" s="27">
        <v>187.44166564941409</v>
      </c>
      <c r="C1021" s="27">
        <f t="shared" si="33"/>
        <v>5.2334676804672178</v>
      </c>
      <c r="D1021" s="29">
        <f t="shared" si="34"/>
        <v>-5.464006875034455E-4</v>
      </c>
    </row>
    <row r="1022" spans="1:4" x14ac:dyDescent="0.3">
      <c r="A1022" s="26">
        <v>43635</v>
      </c>
      <c r="B1022" s="27">
        <v>186.45709228515619</v>
      </c>
      <c r="C1022" s="27">
        <f t="shared" si="33"/>
        <v>5.228201144438021</v>
      </c>
      <c r="D1022" s="29">
        <f t="shared" si="34"/>
        <v>-1.0063186305425686E-3</v>
      </c>
    </row>
    <row r="1023" spans="1:4" x14ac:dyDescent="0.3">
      <c r="A1023" s="26">
        <v>43636</v>
      </c>
      <c r="B1023" s="27">
        <v>188.49591064453119</v>
      </c>
      <c r="C1023" s="27">
        <f t="shared" si="33"/>
        <v>5.2390763124592743</v>
      </c>
      <c r="D1023" s="29">
        <f t="shared" si="34"/>
        <v>2.0800974791919113E-3</v>
      </c>
    </row>
    <row r="1024" spans="1:4" x14ac:dyDescent="0.3">
      <c r="A1024" s="26">
        <v>43637</v>
      </c>
      <c r="B1024" s="27">
        <v>190.0971374511719</v>
      </c>
      <c r="C1024" s="27">
        <f t="shared" si="33"/>
        <v>5.247535191259872</v>
      </c>
      <c r="D1024" s="29">
        <f t="shared" si="34"/>
        <v>1.6145744585702726E-3</v>
      </c>
    </row>
    <row r="1025" spans="1:4" x14ac:dyDescent="0.3">
      <c r="A1025" s="26">
        <v>43640</v>
      </c>
      <c r="B1025" s="27">
        <v>191.5491638183594</v>
      </c>
      <c r="C1025" s="27">
        <f t="shared" si="33"/>
        <v>5.2551445057931438</v>
      </c>
      <c r="D1025" s="29">
        <f t="shared" si="34"/>
        <v>1.4500740358913689E-3</v>
      </c>
    </row>
    <row r="1026" spans="1:4" x14ac:dyDescent="0.3">
      <c r="A1026" s="26">
        <v>43641</v>
      </c>
      <c r="B1026" s="27">
        <v>187.80967712402341</v>
      </c>
      <c r="C1026" s="27">
        <f t="shared" si="33"/>
        <v>5.2354290943285093</v>
      </c>
      <c r="D1026" s="29">
        <f t="shared" si="34"/>
        <v>-3.7516402152025785E-3</v>
      </c>
    </row>
    <row r="1027" spans="1:4" x14ac:dyDescent="0.3">
      <c r="A1027" s="26">
        <v>43642</v>
      </c>
      <c r="B1027" s="27">
        <v>186.6360778808594</v>
      </c>
      <c r="C1027" s="27">
        <f t="shared" ref="C1027:C1090" si="35">LN(B1027)</f>
        <v>5.2291606131377799</v>
      </c>
      <c r="D1027" s="29">
        <f t="shared" si="34"/>
        <v>-1.1973194704365531E-3</v>
      </c>
    </row>
    <row r="1028" spans="1:4" x14ac:dyDescent="0.3">
      <c r="A1028" s="26">
        <v>43643</v>
      </c>
      <c r="B1028" s="27">
        <v>188.466064453125</v>
      </c>
      <c r="C1028" s="27">
        <f t="shared" si="35"/>
        <v>5.2389179612544305</v>
      </c>
      <c r="D1028" s="29">
        <f t="shared" ref="D1028:D1091" si="36">C1028/C1027-1</f>
        <v>1.8659492103065833E-3</v>
      </c>
    </row>
    <row r="1029" spans="1:4" x14ac:dyDescent="0.3">
      <c r="A1029" s="26">
        <v>43644</v>
      </c>
      <c r="B1029" s="27">
        <v>191.94697570800781</v>
      </c>
      <c r="C1029" s="27">
        <f t="shared" si="35"/>
        <v>5.2572191656988663</v>
      </c>
      <c r="D1029" s="29">
        <f t="shared" si="36"/>
        <v>3.4933176239417829E-3</v>
      </c>
    </row>
    <row r="1030" spans="1:4" x14ac:dyDescent="0.3">
      <c r="A1030" s="26">
        <v>43647</v>
      </c>
      <c r="B1030" s="27">
        <v>191.94697570800781</v>
      </c>
      <c r="C1030" s="27">
        <f t="shared" si="35"/>
        <v>5.2572191656988663</v>
      </c>
      <c r="D1030" s="29">
        <f t="shared" si="36"/>
        <v>0</v>
      </c>
    </row>
    <row r="1031" spans="1:4" x14ac:dyDescent="0.3">
      <c r="A1031" s="26">
        <v>43648</v>
      </c>
      <c r="B1031" s="27">
        <v>193.93605041503909</v>
      </c>
      <c r="C1031" s="27">
        <f t="shared" si="35"/>
        <v>5.2675284676852172</v>
      </c>
      <c r="D1031" s="29">
        <f t="shared" si="36"/>
        <v>1.9609800659661225E-3</v>
      </c>
    </row>
    <row r="1032" spans="1:4" x14ac:dyDescent="0.3">
      <c r="A1032" s="26">
        <v>43649</v>
      </c>
      <c r="B1032" s="27">
        <v>196.1240539550781</v>
      </c>
      <c r="C1032" s="27">
        <f t="shared" si="35"/>
        <v>5.2787473873580861</v>
      </c>
      <c r="D1032" s="29">
        <f t="shared" si="36"/>
        <v>2.12982611137158E-3</v>
      </c>
    </row>
    <row r="1033" spans="1:4" x14ac:dyDescent="0.3">
      <c r="A1033" s="26">
        <v>43651</v>
      </c>
      <c r="B1033" s="27">
        <v>195.3283996582031</v>
      </c>
      <c r="C1033" s="27">
        <f t="shared" si="35"/>
        <v>5.2746822428674118</v>
      </c>
      <c r="D1033" s="29">
        <f t="shared" si="36"/>
        <v>-7.700964248469333E-4</v>
      </c>
    </row>
    <row r="1034" spans="1:4" x14ac:dyDescent="0.3">
      <c r="A1034" s="26">
        <v>43654</v>
      </c>
      <c r="B1034" s="27">
        <v>194.69190979003909</v>
      </c>
      <c r="C1034" s="27">
        <f t="shared" si="35"/>
        <v>5.2714183593321939</v>
      </c>
      <c r="D1034" s="29">
        <f t="shared" si="36"/>
        <v>-6.1878296832595936E-4</v>
      </c>
    </row>
    <row r="1035" spans="1:4" x14ac:dyDescent="0.3">
      <c r="A1035" s="26">
        <v>43655</v>
      </c>
      <c r="B1035" s="27">
        <v>198.1230773925781</v>
      </c>
      <c r="C1035" s="27">
        <f t="shared" si="35"/>
        <v>5.2888884405722365</v>
      </c>
      <c r="D1035" s="29">
        <f t="shared" si="36"/>
        <v>3.3141139725922919E-3</v>
      </c>
    </row>
    <row r="1036" spans="1:4" x14ac:dyDescent="0.3">
      <c r="A1036" s="26">
        <v>43656</v>
      </c>
      <c r="B1036" s="27">
        <v>201.62385559082031</v>
      </c>
      <c r="C1036" s="27">
        <f t="shared" si="35"/>
        <v>5.3064038605002892</v>
      </c>
      <c r="D1036" s="29">
        <f t="shared" si="36"/>
        <v>3.3117393427488651E-3</v>
      </c>
    </row>
    <row r="1037" spans="1:4" x14ac:dyDescent="0.3">
      <c r="A1037" s="26">
        <v>43657</v>
      </c>
      <c r="B1037" s="27">
        <v>200.132080078125</v>
      </c>
      <c r="C1037" s="27">
        <f t="shared" si="35"/>
        <v>5.2989775489702824</v>
      </c>
      <c r="D1037" s="29">
        <f t="shared" si="36"/>
        <v>-1.3994998732167474E-3</v>
      </c>
    </row>
    <row r="1038" spans="1:4" x14ac:dyDescent="0.3">
      <c r="A1038" s="26">
        <v>43658</v>
      </c>
      <c r="B1038" s="27">
        <v>203.752197265625</v>
      </c>
      <c r="C1038" s="27">
        <f t="shared" si="35"/>
        <v>5.3169045361885905</v>
      </c>
      <c r="D1038" s="29">
        <f t="shared" si="36"/>
        <v>3.3831030708539878E-3</v>
      </c>
    </row>
    <row r="1039" spans="1:4" x14ac:dyDescent="0.3">
      <c r="A1039" s="26">
        <v>43661</v>
      </c>
      <c r="B1039" s="27">
        <v>202.7974548339844</v>
      </c>
      <c r="C1039" s="27">
        <f t="shared" si="35"/>
        <v>5.312207721509993</v>
      </c>
      <c r="D1039" s="29">
        <f t="shared" si="36"/>
        <v>-8.8337389671555577E-4</v>
      </c>
    </row>
    <row r="1040" spans="1:4" x14ac:dyDescent="0.3">
      <c r="A1040" s="26">
        <v>43662</v>
      </c>
      <c r="B1040" s="27">
        <v>202.7278137207031</v>
      </c>
      <c r="C1040" s="27">
        <f t="shared" si="35"/>
        <v>5.3118642602296928</v>
      </c>
      <c r="D1040" s="29">
        <f t="shared" si="36"/>
        <v>-6.4655092252730029E-5</v>
      </c>
    </row>
    <row r="1041" spans="1:4" x14ac:dyDescent="0.3">
      <c r="A1041" s="26">
        <v>43663</v>
      </c>
      <c r="B1041" s="27">
        <v>200.69895935058591</v>
      </c>
      <c r="C1041" s="27">
        <f t="shared" si="35"/>
        <v>5.3018060706896266</v>
      </c>
      <c r="D1041" s="29">
        <f t="shared" si="36"/>
        <v>-1.8935328629108295E-3</v>
      </c>
    </row>
    <row r="1042" spans="1:4" x14ac:dyDescent="0.3">
      <c r="A1042" s="26">
        <v>43664</v>
      </c>
      <c r="B1042" s="27">
        <v>199.68450927734381</v>
      </c>
      <c r="C1042" s="27">
        <f t="shared" si="35"/>
        <v>5.2967386674448305</v>
      </c>
      <c r="D1042" s="29">
        <f t="shared" si="36"/>
        <v>-9.5578811771535044E-4</v>
      </c>
    </row>
    <row r="1043" spans="1:4" x14ac:dyDescent="0.3">
      <c r="A1043" s="26">
        <v>43665</v>
      </c>
      <c r="B1043" s="27">
        <v>197.27772521972659</v>
      </c>
      <c r="C1043" s="27">
        <f t="shared" si="35"/>
        <v>5.2846125086304072</v>
      </c>
      <c r="D1043" s="29">
        <f t="shared" si="36"/>
        <v>-2.2893632432640088E-3</v>
      </c>
    </row>
    <row r="1044" spans="1:4" x14ac:dyDescent="0.3">
      <c r="A1044" s="26">
        <v>43668</v>
      </c>
      <c r="B1044" s="27">
        <v>201.21612548828119</v>
      </c>
      <c r="C1044" s="27">
        <f t="shared" si="35"/>
        <v>5.3043795815760539</v>
      </c>
      <c r="D1044" s="29">
        <f t="shared" si="36"/>
        <v>3.7404961883893417E-3</v>
      </c>
    </row>
    <row r="1045" spans="1:4" x14ac:dyDescent="0.3">
      <c r="A1045" s="26">
        <v>43669</v>
      </c>
      <c r="B1045" s="27">
        <v>201.25592041015619</v>
      </c>
      <c r="C1045" s="27">
        <f t="shared" si="35"/>
        <v>5.3045773340530777</v>
      </c>
      <c r="D1045" s="29">
        <f t="shared" si="36"/>
        <v>3.728098149502479E-5</v>
      </c>
    </row>
    <row r="1046" spans="1:4" x14ac:dyDescent="0.3">
      <c r="A1046" s="26">
        <v>43670</v>
      </c>
      <c r="B1046" s="27">
        <v>203.5433654785156</v>
      </c>
      <c r="C1046" s="27">
        <f t="shared" si="35"/>
        <v>5.3158790803549829</v>
      </c>
      <c r="D1046" s="29">
        <f t="shared" si="36"/>
        <v>2.1305649046443609E-3</v>
      </c>
    </row>
    <row r="1047" spans="1:4" x14ac:dyDescent="0.3">
      <c r="A1047" s="26">
        <v>43671</v>
      </c>
      <c r="B1047" s="27">
        <v>199.6148986816406</v>
      </c>
      <c r="C1047" s="27">
        <f t="shared" si="35"/>
        <v>5.2963900037853264</v>
      </c>
      <c r="D1047" s="29">
        <f t="shared" si="36"/>
        <v>-3.6662001289079482E-3</v>
      </c>
    </row>
    <row r="1048" spans="1:4" x14ac:dyDescent="0.3">
      <c r="A1048" s="26">
        <v>43672</v>
      </c>
      <c r="B1048" s="27">
        <v>198.66014099121091</v>
      </c>
      <c r="C1048" s="27">
        <f t="shared" si="35"/>
        <v>5.2915955304980775</v>
      </c>
      <c r="D1048" s="29">
        <f t="shared" si="36"/>
        <v>-9.0523418476029516E-4</v>
      </c>
    </row>
    <row r="1049" spans="1:4" x14ac:dyDescent="0.3">
      <c r="A1049" s="26">
        <v>43675</v>
      </c>
      <c r="B1049" s="27">
        <v>194.8709411621094</v>
      </c>
      <c r="C1049" s="27">
        <f t="shared" si="35"/>
        <v>5.2723374992565306</v>
      </c>
      <c r="D1049" s="29">
        <f t="shared" si="36"/>
        <v>-3.6393619146727341E-3</v>
      </c>
    </row>
    <row r="1050" spans="1:4" x14ac:dyDescent="0.3">
      <c r="A1050" s="26">
        <v>43676</v>
      </c>
      <c r="B1050" s="27">
        <v>195.96492004394531</v>
      </c>
      <c r="C1050" s="27">
        <f t="shared" si="35"/>
        <v>5.2779356638441728</v>
      </c>
      <c r="D1050" s="29">
        <f t="shared" si="36"/>
        <v>1.0617993609915999E-3</v>
      </c>
    </row>
    <row r="1051" spans="1:4" x14ac:dyDescent="0.3">
      <c r="A1051" s="26">
        <v>43677</v>
      </c>
      <c r="B1051" s="27">
        <v>193.1702575683594</v>
      </c>
      <c r="C1051" s="27">
        <f t="shared" si="35"/>
        <v>5.2635719635939209</v>
      </c>
      <c r="D1051" s="29">
        <f t="shared" si="36"/>
        <v>-2.7214617920882089E-3</v>
      </c>
    </row>
    <row r="1052" spans="1:4" x14ac:dyDescent="0.3">
      <c r="A1052" s="26">
        <v>43678</v>
      </c>
      <c r="B1052" s="27">
        <v>191.6784362792969</v>
      </c>
      <c r="C1052" s="27">
        <f t="shared" si="35"/>
        <v>5.2558191569185206</v>
      </c>
      <c r="D1052" s="29">
        <f t="shared" si="36"/>
        <v>-1.4729173893742731E-3</v>
      </c>
    </row>
    <row r="1053" spans="1:4" x14ac:dyDescent="0.3">
      <c r="A1053" s="26">
        <v>43679</v>
      </c>
      <c r="B1053" s="27">
        <v>187.9886779785156</v>
      </c>
      <c r="C1053" s="27">
        <f t="shared" si="35"/>
        <v>5.236381737497906</v>
      </c>
      <c r="D1053" s="29">
        <f t="shared" si="36"/>
        <v>-3.6982664053476499E-3</v>
      </c>
    </row>
    <row r="1054" spans="1:4" x14ac:dyDescent="0.3">
      <c r="A1054" s="26">
        <v>43682</v>
      </c>
      <c r="B1054" s="27">
        <v>180.73846435546881</v>
      </c>
      <c r="C1054" s="27">
        <f t="shared" si="35"/>
        <v>5.1970510380089712</v>
      </c>
      <c r="D1054" s="29">
        <f t="shared" si="36"/>
        <v>-7.5110451186716221E-3</v>
      </c>
    </row>
    <row r="1055" spans="1:4" x14ac:dyDescent="0.3">
      <c r="A1055" s="26">
        <v>43683</v>
      </c>
      <c r="B1055" s="27">
        <v>183.50328063964841</v>
      </c>
      <c r="C1055" s="27">
        <f t="shared" si="35"/>
        <v>5.2122325454800356</v>
      </c>
      <c r="D1055" s="29">
        <f t="shared" si="36"/>
        <v>2.9211772907431488E-3</v>
      </c>
    </row>
    <row r="1056" spans="1:4" x14ac:dyDescent="0.3">
      <c r="A1056" s="26">
        <v>43684</v>
      </c>
      <c r="B1056" s="27">
        <v>184.1398010253906</v>
      </c>
      <c r="C1056" s="27">
        <f t="shared" si="35"/>
        <v>5.2156952572975355</v>
      </c>
      <c r="D1056" s="29">
        <f t="shared" si="36"/>
        <v>6.6434330918374584E-4</v>
      </c>
    </row>
    <row r="1057" spans="1:4" x14ac:dyDescent="0.3">
      <c r="A1057" s="26">
        <v>43685</v>
      </c>
      <c r="B1057" s="27">
        <v>189.12245178222659</v>
      </c>
      <c r="C1057" s="27">
        <f t="shared" si="35"/>
        <v>5.242394698295219</v>
      </c>
      <c r="D1057" s="29">
        <f t="shared" si="36"/>
        <v>5.1190569388284146E-3</v>
      </c>
    </row>
    <row r="1058" spans="1:4" x14ac:dyDescent="0.3">
      <c r="A1058" s="26">
        <v>43686</v>
      </c>
      <c r="B1058" s="27">
        <v>186.8250732421875</v>
      </c>
      <c r="C1058" s="27">
        <f t="shared" si="35"/>
        <v>5.2301727418526074</v>
      </c>
      <c r="D1058" s="29">
        <f t="shared" si="36"/>
        <v>-2.3313689918437186E-3</v>
      </c>
    </row>
    <row r="1059" spans="1:4" x14ac:dyDescent="0.3">
      <c r="A1059" s="26">
        <v>43689</v>
      </c>
      <c r="B1059" s="27">
        <v>184.35859680175781</v>
      </c>
      <c r="C1059" s="27">
        <f t="shared" si="35"/>
        <v>5.2168827566373901</v>
      </c>
      <c r="D1059" s="29">
        <f t="shared" si="36"/>
        <v>-2.5410222321853304E-3</v>
      </c>
    </row>
    <row r="1060" spans="1:4" x14ac:dyDescent="0.3">
      <c r="A1060" s="26">
        <v>43690</v>
      </c>
      <c r="B1060" s="27">
        <v>187.42179870605469</v>
      </c>
      <c r="C1060" s="27">
        <f t="shared" si="35"/>
        <v>5.2333616848433859</v>
      </c>
      <c r="D1060" s="29">
        <f t="shared" si="36"/>
        <v>3.1587691299042042E-3</v>
      </c>
    </row>
    <row r="1061" spans="1:4" x14ac:dyDescent="0.3">
      <c r="A1061" s="26">
        <v>43691</v>
      </c>
      <c r="B1061" s="27">
        <v>178.72947692871091</v>
      </c>
      <c r="C1061" s="27">
        <f t="shared" si="35"/>
        <v>5.1858733605976068</v>
      </c>
      <c r="D1061" s="29">
        <f t="shared" si="36"/>
        <v>-9.0741529260842668E-3</v>
      </c>
    </row>
    <row r="1062" spans="1:4" x14ac:dyDescent="0.3">
      <c r="A1062" s="26">
        <v>43692</v>
      </c>
      <c r="B1062" s="27">
        <v>181.59376525878909</v>
      </c>
      <c r="C1062" s="27">
        <f t="shared" si="35"/>
        <v>5.2017721333024367</v>
      </c>
      <c r="D1062" s="29">
        <f t="shared" si="36"/>
        <v>3.0657849892032907E-3</v>
      </c>
    </row>
    <row r="1063" spans="1:4" x14ac:dyDescent="0.3">
      <c r="A1063" s="26">
        <v>43693</v>
      </c>
      <c r="B1063" s="27">
        <v>182.69770812988281</v>
      </c>
      <c r="C1063" s="27">
        <f t="shared" si="35"/>
        <v>5.2078329188601931</v>
      </c>
      <c r="D1063" s="29">
        <f t="shared" si="36"/>
        <v>1.1651386109272632E-3</v>
      </c>
    </row>
    <row r="1064" spans="1:4" x14ac:dyDescent="0.3">
      <c r="A1064" s="26">
        <v>43696</v>
      </c>
      <c r="B1064" s="27">
        <v>185.15423583984381</v>
      </c>
      <c r="C1064" s="27">
        <f t="shared" si="35"/>
        <v>5.221189184979881</v>
      </c>
      <c r="D1064" s="29">
        <f t="shared" si="36"/>
        <v>2.5646495054245655E-3</v>
      </c>
    </row>
    <row r="1065" spans="1:4" x14ac:dyDescent="0.3">
      <c r="A1065" s="26">
        <v>43697</v>
      </c>
      <c r="B1065" s="27">
        <v>182.8070983886719</v>
      </c>
      <c r="C1065" s="27">
        <f t="shared" si="35"/>
        <v>5.2084314897140054</v>
      </c>
      <c r="D1065" s="29">
        <f t="shared" si="36"/>
        <v>-2.44344627514681E-3</v>
      </c>
    </row>
    <row r="1066" spans="1:4" x14ac:dyDescent="0.3">
      <c r="A1066" s="26">
        <v>43698</v>
      </c>
      <c r="B1066" s="27">
        <v>182.5485534667969</v>
      </c>
      <c r="C1066" s="27">
        <f t="shared" si="35"/>
        <v>5.2070161840318878</v>
      </c>
      <c r="D1066" s="29">
        <f t="shared" si="36"/>
        <v>-2.7173356986887054E-4</v>
      </c>
    </row>
    <row r="1067" spans="1:4" x14ac:dyDescent="0.3">
      <c r="A1067" s="26">
        <v>43699</v>
      </c>
      <c r="B1067" s="27">
        <v>181.0467834472656</v>
      </c>
      <c r="C1067" s="27">
        <f t="shared" si="35"/>
        <v>5.1987554699520118</v>
      </c>
      <c r="D1067" s="29">
        <f t="shared" si="36"/>
        <v>-1.5864583070067662E-3</v>
      </c>
    </row>
    <row r="1068" spans="1:4" x14ac:dyDescent="0.3">
      <c r="A1068" s="26">
        <v>43700</v>
      </c>
      <c r="B1068" s="27">
        <v>176.78016662597659</v>
      </c>
      <c r="C1068" s="27">
        <f t="shared" si="35"/>
        <v>5.1749069641936014</v>
      </c>
      <c r="D1068" s="29">
        <f t="shared" si="36"/>
        <v>-4.5873490100181158E-3</v>
      </c>
    </row>
    <row r="1069" spans="1:4" x14ac:dyDescent="0.3">
      <c r="A1069" s="26">
        <v>43703</v>
      </c>
      <c r="B1069" s="27">
        <v>179.37591552734381</v>
      </c>
      <c r="C1069" s="27">
        <f t="shared" si="35"/>
        <v>5.1894836904860524</v>
      </c>
      <c r="D1069" s="29">
        <f t="shared" si="36"/>
        <v>2.8168093442666464E-3</v>
      </c>
    </row>
    <row r="1070" spans="1:4" x14ac:dyDescent="0.3">
      <c r="A1070" s="26">
        <v>43704</v>
      </c>
      <c r="B1070" s="27">
        <v>180.3108215332031</v>
      </c>
      <c r="C1070" s="27">
        <f t="shared" si="35"/>
        <v>5.1946821480044134</v>
      </c>
      <c r="D1070" s="29">
        <f t="shared" si="36"/>
        <v>1.0017292332744621E-3</v>
      </c>
    </row>
    <row r="1071" spans="1:4" x14ac:dyDescent="0.3">
      <c r="A1071" s="26">
        <v>43705</v>
      </c>
      <c r="B1071" s="27">
        <v>180.76829528808591</v>
      </c>
      <c r="C1071" s="27">
        <f t="shared" si="35"/>
        <v>5.1972160746611999</v>
      </c>
      <c r="D1071" s="29">
        <f t="shared" si="36"/>
        <v>4.8779243553132012E-4</v>
      </c>
    </row>
    <row r="1072" spans="1:4" x14ac:dyDescent="0.3">
      <c r="A1072" s="26">
        <v>43706</v>
      </c>
      <c r="B1072" s="27">
        <v>184.55751037597659</v>
      </c>
      <c r="C1072" s="27">
        <f t="shared" si="35"/>
        <v>5.2179611242642006</v>
      </c>
      <c r="D1072" s="29">
        <f t="shared" si="36"/>
        <v>3.9915695835972542E-3</v>
      </c>
    </row>
    <row r="1073" spans="1:4" x14ac:dyDescent="0.3">
      <c r="A1073" s="26">
        <v>43707</v>
      </c>
      <c r="B1073" s="27">
        <v>184.6569519042969</v>
      </c>
      <c r="C1073" s="27">
        <f t="shared" si="35"/>
        <v>5.2184997896789334</v>
      </c>
      <c r="D1073" s="29">
        <f t="shared" si="36"/>
        <v>1.0323292985603416E-4</v>
      </c>
    </row>
    <row r="1074" spans="1:4" x14ac:dyDescent="0.3">
      <c r="A1074" s="26">
        <v>43711</v>
      </c>
      <c r="B1074" s="27">
        <v>181.39485168457031</v>
      </c>
      <c r="C1074" s="27">
        <f t="shared" si="35"/>
        <v>5.2006761562670984</v>
      </c>
      <c r="D1074" s="29">
        <f t="shared" si="36"/>
        <v>-3.4154707540826612E-3</v>
      </c>
    </row>
    <row r="1075" spans="1:4" x14ac:dyDescent="0.3">
      <c r="A1075" s="26">
        <v>43712</v>
      </c>
      <c r="B1075" s="27">
        <v>186.11895751953119</v>
      </c>
      <c r="C1075" s="27">
        <f t="shared" si="35"/>
        <v>5.226386025840684</v>
      </c>
      <c r="D1075" s="29">
        <f t="shared" si="36"/>
        <v>4.943562875493468E-3</v>
      </c>
    </row>
    <row r="1076" spans="1:4" x14ac:dyDescent="0.3">
      <c r="A1076" s="26">
        <v>43713</v>
      </c>
      <c r="B1076" s="27">
        <v>189.85841369628909</v>
      </c>
      <c r="C1076" s="27">
        <f t="shared" si="35"/>
        <v>5.2462786032954423</v>
      </c>
      <c r="D1076" s="29">
        <f t="shared" si="36"/>
        <v>3.8061821986365985E-3</v>
      </c>
    </row>
    <row r="1077" spans="1:4" x14ac:dyDescent="0.3">
      <c r="A1077" s="26">
        <v>43714</v>
      </c>
      <c r="B1077" s="27">
        <v>186.46702575683591</v>
      </c>
      <c r="C1077" s="27">
        <f t="shared" si="35"/>
        <v>5.2282544178585457</v>
      </c>
      <c r="D1077" s="29">
        <f t="shared" si="36"/>
        <v>-3.435613470007981E-3</v>
      </c>
    </row>
    <row r="1078" spans="1:4" x14ac:dyDescent="0.3">
      <c r="A1078" s="26">
        <v>43717</v>
      </c>
      <c r="B1078" s="27">
        <v>187.73008728027341</v>
      </c>
      <c r="C1078" s="27">
        <f t="shared" si="35"/>
        <v>5.2350052252606467</v>
      </c>
      <c r="D1078" s="29">
        <f t="shared" si="36"/>
        <v>1.291216314768695E-3</v>
      </c>
    </row>
    <row r="1079" spans="1:4" x14ac:dyDescent="0.3">
      <c r="A1079" s="26">
        <v>43718</v>
      </c>
      <c r="B1079" s="27">
        <v>185.15423583984381</v>
      </c>
      <c r="C1079" s="27">
        <f t="shared" si="35"/>
        <v>5.221189184979881</v>
      </c>
      <c r="D1079" s="29">
        <f t="shared" si="36"/>
        <v>-2.639164563599361E-3</v>
      </c>
    </row>
    <row r="1080" spans="1:4" x14ac:dyDescent="0.3">
      <c r="A1080" s="26">
        <v>43719</v>
      </c>
      <c r="B1080" s="27">
        <v>187.4615783691406</v>
      </c>
      <c r="C1080" s="27">
        <f t="shared" si="35"/>
        <v>5.2335739090478599</v>
      </c>
      <c r="D1080" s="29">
        <f t="shared" si="36"/>
        <v>2.3720121277364115E-3</v>
      </c>
    </row>
    <row r="1081" spans="1:4" x14ac:dyDescent="0.3">
      <c r="A1081" s="26">
        <v>43720</v>
      </c>
      <c r="B1081" s="27">
        <v>186.4471435546875</v>
      </c>
      <c r="C1081" s="27">
        <f t="shared" si="35"/>
        <v>5.2281477863395347</v>
      </c>
      <c r="D1081" s="29">
        <f t="shared" si="36"/>
        <v>-1.0367910729118801E-3</v>
      </c>
    </row>
    <row r="1082" spans="1:4" x14ac:dyDescent="0.3">
      <c r="A1082" s="26">
        <v>43721</v>
      </c>
      <c r="B1082" s="27">
        <v>186.1686706542969</v>
      </c>
      <c r="C1082" s="27">
        <f t="shared" si="35"/>
        <v>5.2266530942646607</v>
      </c>
      <c r="D1082" s="29">
        <f t="shared" si="36"/>
        <v>-2.8589323331285055E-4</v>
      </c>
    </row>
    <row r="1083" spans="1:4" x14ac:dyDescent="0.3">
      <c r="A1083" s="26">
        <v>43724</v>
      </c>
      <c r="B1083" s="27">
        <v>185.2039489746094</v>
      </c>
      <c r="C1083" s="27">
        <f t="shared" si="35"/>
        <v>5.2214576447418226</v>
      </c>
      <c r="D1083" s="29">
        <f t="shared" si="36"/>
        <v>-9.9402991343333635E-4</v>
      </c>
    </row>
    <row r="1084" spans="1:4" x14ac:dyDescent="0.3">
      <c r="A1084" s="26">
        <v>43725</v>
      </c>
      <c r="B1084" s="27">
        <v>187.0538024902344</v>
      </c>
      <c r="C1084" s="27">
        <f t="shared" si="35"/>
        <v>5.2313962893244144</v>
      </c>
      <c r="D1084" s="29">
        <f t="shared" si="36"/>
        <v>1.9034233845791615E-3</v>
      </c>
    </row>
    <row r="1085" spans="1:4" x14ac:dyDescent="0.3">
      <c r="A1085" s="26">
        <v>43726</v>
      </c>
      <c r="B1085" s="27">
        <v>187.1134948730469</v>
      </c>
      <c r="C1085" s="27">
        <f t="shared" si="35"/>
        <v>5.231715357205224</v>
      </c>
      <c r="D1085" s="29">
        <f t="shared" si="36"/>
        <v>6.0990959805717893E-5</v>
      </c>
    </row>
    <row r="1086" spans="1:4" x14ac:dyDescent="0.3">
      <c r="A1086" s="26">
        <v>43727</v>
      </c>
      <c r="B1086" s="27">
        <v>189.10255432128909</v>
      </c>
      <c r="C1086" s="27">
        <f t="shared" si="35"/>
        <v>5.2422894833536642</v>
      </c>
      <c r="D1086" s="29">
        <f t="shared" si="36"/>
        <v>2.021158535293166E-3</v>
      </c>
    </row>
    <row r="1087" spans="1:4" x14ac:dyDescent="0.3">
      <c r="A1087" s="26">
        <v>43728</v>
      </c>
      <c r="B1087" s="27">
        <v>188.89369201660159</v>
      </c>
      <c r="C1087" s="27">
        <f t="shared" si="35"/>
        <v>5.2411843807079785</v>
      </c>
      <c r="D1087" s="29">
        <f t="shared" si="36"/>
        <v>-2.1080534548778562E-4</v>
      </c>
    </row>
    <row r="1088" spans="1:4" x14ac:dyDescent="0.3">
      <c r="A1088" s="26">
        <v>43731</v>
      </c>
      <c r="B1088" s="27">
        <v>185.8006896972656</v>
      </c>
      <c r="C1088" s="27">
        <f t="shared" si="35"/>
        <v>5.2246745384141056</v>
      </c>
      <c r="D1088" s="29">
        <f t="shared" si="36"/>
        <v>-3.1500212727954002E-3</v>
      </c>
    </row>
    <row r="1089" spans="1:4" x14ac:dyDescent="0.3">
      <c r="A1089" s="26">
        <v>43732</v>
      </c>
      <c r="B1089" s="27">
        <v>180.2909240722656</v>
      </c>
      <c r="C1089" s="27">
        <f t="shared" si="35"/>
        <v>5.1945717910180695</v>
      </c>
      <c r="D1089" s="29">
        <f t="shared" si="36"/>
        <v>-5.7616502568164085E-3</v>
      </c>
    </row>
    <row r="1090" spans="1:4" x14ac:dyDescent="0.3">
      <c r="A1090" s="26">
        <v>43733</v>
      </c>
      <c r="B1090" s="27">
        <v>181.80259704589841</v>
      </c>
      <c r="C1090" s="27">
        <f t="shared" si="35"/>
        <v>5.2029214668223052</v>
      </c>
      <c r="D1090" s="29">
        <f t="shared" si="36"/>
        <v>1.6073848124831258E-3</v>
      </c>
    </row>
    <row r="1091" spans="1:4" x14ac:dyDescent="0.3">
      <c r="A1091" s="26">
        <v>43734</v>
      </c>
      <c r="B1091" s="27">
        <v>179.1272888183594</v>
      </c>
      <c r="C1091" s="27">
        <f t="shared" ref="C1091:C1154" si="37">LN(B1091)</f>
        <v>5.1880966638384214</v>
      </c>
      <c r="D1091" s="29">
        <f t="shared" si="36"/>
        <v>-2.8493228426409445E-3</v>
      </c>
    </row>
    <row r="1092" spans="1:4" x14ac:dyDescent="0.3">
      <c r="A1092" s="26">
        <v>43735</v>
      </c>
      <c r="B1092" s="27">
        <v>176.13371276855469</v>
      </c>
      <c r="C1092" s="27">
        <f t="shared" si="37"/>
        <v>5.1712434382276724</v>
      </c>
      <c r="D1092" s="29">
        <f t="shared" ref="D1092:D1155" si="38">C1092/C1091-1</f>
        <v>-3.2484409413990889E-3</v>
      </c>
    </row>
    <row r="1093" spans="1:4" x14ac:dyDescent="0.3">
      <c r="A1093" s="26">
        <v>43738</v>
      </c>
      <c r="B1093" s="27">
        <v>177.1083679199219</v>
      </c>
      <c r="C1093" s="27">
        <f t="shared" si="37"/>
        <v>5.1767617933615568</v>
      </c>
      <c r="D1093" s="29">
        <f t="shared" si="38"/>
        <v>1.0671234490897685E-3</v>
      </c>
    </row>
    <row r="1094" spans="1:4" x14ac:dyDescent="0.3">
      <c r="A1094" s="26">
        <v>43739</v>
      </c>
      <c r="B1094" s="27">
        <v>174.85076904296881</v>
      </c>
      <c r="C1094" s="27">
        <f t="shared" si="37"/>
        <v>5.1639328618009355</v>
      </c>
      <c r="D1094" s="29">
        <f t="shared" si="38"/>
        <v>-2.4781769130409748E-3</v>
      </c>
    </row>
    <row r="1095" spans="1:4" x14ac:dyDescent="0.3">
      <c r="A1095" s="26">
        <v>43740</v>
      </c>
      <c r="B1095" s="27">
        <v>173.6473693847656</v>
      </c>
      <c r="C1095" s="27">
        <f t="shared" si="37"/>
        <v>5.1570266301249514</v>
      </c>
      <c r="D1095" s="29">
        <f t="shared" si="38"/>
        <v>-1.3373976503590068E-3</v>
      </c>
    </row>
    <row r="1096" spans="1:4" x14ac:dyDescent="0.3">
      <c r="A1096" s="26">
        <v>43741</v>
      </c>
      <c r="B1096" s="27">
        <v>178.40129089355469</v>
      </c>
      <c r="C1096" s="27">
        <f t="shared" si="37"/>
        <v>5.1840354560701485</v>
      </c>
      <c r="D1096" s="29">
        <f t="shared" si="38"/>
        <v>5.2372864990504198E-3</v>
      </c>
    </row>
    <row r="1097" spans="1:4" x14ac:dyDescent="0.3">
      <c r="A1097" s="26">
        <v>43742</v>
      </c>
      <c r="B1097" s="27">
        <v>179.46543884277341</v>
      </c>
      <c r="C1097" s="27">
        <f t="shared" si="37"/>
        <v>5.1899826481239977</v>
      </c>
      <c r="D1097" s="29">
        <f t="shared" si="38"/>
        <v>1.1472128430149997E-3</v>
      </c>
    </row>
    <row r="1098" spans="1:4" x14ac:dyDescent="0.3">
      <c r="A1098" s="26">
        <v>43745</v>
      </c>
      <c r="B1098" s="27">
        <v>178.69964599609381</v>
      </c>
      <c r="C1098" s="27">
        <f t="shared" si="37"/>
        <v>5.1857064411678619</v>
      </c>
      <c r="D1098" s="29">
        <f t="shared" si="38"/>
        <v>-8.2393473081865398E-4</v>
      </c>
    </row>
    <row r="1099" spans="1:4" x14ac:dyDescent="0.3">
      <c r="A1099" s="26">
        <v>43746</v>
      </c>
      <c r="B1099" s="27">
        <v>176.78016662597659</v>
      </c>
      <c r="C1099" s="27">
        <f t="shared" si="37"/>
        <v>5.1749069641936014</v>
      </c>
      <c r="D1099" s="29">
        <f t="shared" si="38"/>
        <v>-2.0825469194566404E-3</v>
      </c>
    </row>
    <row r="1100" spans="1:4" x14ac:dyDescent="0.3">
      <c r="A1100" s="26">
        <v>43747</v>
      </c>
      <c r="B1100" s="27">
        <v>178.86871337890619</v>
      </c>
      <c r="C1100" s="27">
        <f t="shared" si="37"/>
        <v>5.1866520919279404</v>
      </c>
      <c r="D1100" s="29">
        <f t="shared" si="38"/>
        <v>2.2696307036254026E-3</v>
      </c>
    </row>
    <row r="1101" spans="1:4" x14ac:dyDescent="0.3">
      <c r="A1101" s="26">
        <v>43748</v>
      </c>
      <c r="B1101" s="27">
        <v>179.0477600097656</v>
      </c>
      <c r="C1101" s="27">
        <f t="shared" si="37"/>
        <v>5.1876525859487916</v>
      </c>
      <c r="D1101" s="29">
        <f t="shared" si="38"/>
        <v>1.928978468419551E-4</v>
      </c>
    </row>
    <row r="1102" spans="1:4" x14ac:dyDescent="0.3">
      <c r="A1102" s="26">
        <v>43749</v>
      </c>
      <c r="B1102" s="27">
        <v>183.1850280761719</v>
      </c>
      <c r="C1102" s="27">
        <f t="shared" si="37"/>
        <v>5.2104967244253588</v>
      </c>
      <c r="D1102" s="29">
        <f t="shared" si="38"/>
        <v>4.4035598178726598E-3</v>
      </c>
    </row>
    <row r="1103" spans="1:4" x14ac:dyDescent="0.3">
      <c r="A1103" s="26">
        <v>43752</v>
      </c>
      <c r="B1103" s="27">
        <v>182.27998352050781</v>
      </c>
      <c r="C1103" s="27">
        <f t="shared" si="37"/>
        <v>5.2055438759881056</v>
      </c>
      <c r="D1103" s="29">
        <f t="shared" si="38"/>
        <v>-9.5055206810434889E-4</v>
      </c>
    </row>
    <row r="1104" spans="1:4" x14ac:dyDescent="0.3">
      <c r="A1104" s="26">
        <v>43753</v>
      </c>
      <c r="B1104" s="27">
        <v>187.859375</v>
      </c>
      <c r="C1104" s="27">
        <f t="shared" si="37"/>
        <v>5.2356936776152372</v>
      </c>
      <c r="D1104" s="29">
        <f t="shared" si="38"/>
        <v>5.7918638946077294E-3</v>
      </c>
    </row>
    <row r="1105" spans="1:4" x14ac:dyDescent="0.3">
      <c r="A1105" s="26">
        <v>43754</v>
      </c>
      <c r="B1105" s="27">
        <v>188.51580810546881</v>
      </c>
      <c r="C1105" s="27">
        <f t="shared" si="37"/>
        <v>5.2391818660002736</v>
      </c>
      <c r="D1105" s="29">
        <f t="shared" si="38"/>
        <v>6.662323275232751E-4</v>
      </c>
    </row>
    <row r="1106" spans="1:4" x14ac:dyDescent="0.3">
      <c r="A1106" s="26">
        <v>43755</v>
      </c>
      <c r="B1106" s="27">
        <v>189.3511962890625</v>
      </c>
      <c r="C1106" s="27">
        <f t="shared" si="37"/>
        <v>5.2436034721998421</v>
      </c>
      <c r="D1106" s="29">
        <f t="shared" si="38"/>
        <v>8.4394974495216601E-4</v>
      </c>
    </row>
    <row r="1107" spans="1:4" x14ac:dyDescent="0.3">
      <c r="A1107" s="26">
        <v>43756</v>
      </c>
      <c r="B1107" s="27">
        <v>184.83599853515619</v>
      </c>
      <c r="C1107" s="27">
        <f t="shared" si="37"/>
        <v>5.219468937505221</v>
      </c>
      <c r="D1107" s="29">
        <f t="shared" si="38"/>
        <v>-4.6026620476883329E-3</v>
      </c>
    </row>
    <row r="1108" spans="1:4" x14ac:dyDescent="0.3">
      <c r="A1108" s="26">
        <v>43759</v>
      </c>
      <c r="B1108" s="27">
        <v>188.7246398925781</v>
      </c>
      <c r="C1108" s="27">
        <f t="shared" si="37"/>
        <v>5.2402890209172481</v>
      </c>
      <c r="D1108" s="29">
        <f t="shared" si="38"/>
        <v>3.9889275444138228E-3</v>
      </c>
    </row>
    <row r="1109" spans="1:4" x14ac:dyDescent="0.3">
      <c r="A1109" s="26">
        <v>43760</v>
      </c>
      <c r="B1109" s="27">
        <v>181.3451232910156</v>
      </c>
      <c r="C1109" s="27">
        <f t="shared" si="37"/>
        <v>5.2004019742232277</v>
      </c>
      <c r="D1109" s="29">
        <f t="shared" si="38"/>
        <v>-7.6116119807144722E-3</v>
      </c>
    </row>
    <row r="1110" spans="1:4" x14ac:dyDescent="0.3">
      <c r="A1110" s="26">
        <v>43761</v>
      </c>
      <c r="B1110" s="27">
        <v>185.13435363769531</v>
      </c>
      <c r="C1110" s="27">
        <f t="shared" si="37"/>
        <v>5.2210817973760903</v>
      </c>
      <c r="D1110" s="29">
        <f t="shared" si="38"/>
        <v>3.9765816672183707E-3</v>
      </c>
    </row>
    <row r="1111" spans="1:4" x14ac:dyDescent="0.3">
      <c r="A1111" s="26">
        <v>43762</v>
      </c>
      <c r="B1111" s="27">
        <v>185.36309814453119</v>
      </c>
      <c r="C1111" s="27">
        <f t="shared" si="37"/>
        <v>5.2223165941867018</v>
      </c>
      <c r="D1111" s="29">
        <f t="shared" si="38"/>
        <v>2.3650210024128704E-4</v>
      </c>
    </row>
    <row r="1112" spans="1:4" x14ac:dyDescent="0.3">
      <c r="A1112" s="26">
        <v>43763</v>
      </c>
      <c r="B1112" s="27">
        <v>186.86485290527341</v>
      </c>
      <c r="C1112" s="27">
        <f t="shared" si="37"/>
        <v>5.2303856438360583</v>
      </c>
      <c r="D1112" s="29">
        <f t="shared" si="38"/>
        <v>1.5451092448777182E-3</v>
      </c>
    </row>
    <row r="1113" spans="1:4" x14ac:dyDescent="0.3">
      <c r="A1113" s="26">
        <v>43766</v>
      </c>
      <c r="B1113" s="27">
        <v>188.36659240722659</v>
      </c>
      <c r="C1113" s="27">
        <f t="shared" si="37"/>
        <v>5.2383900237394734</v>
      </c>
      <c r="D1113" s="29">
        <f t="shared" si="38"/>
        <v>1.5303613248571768E-3</v>
      </c>
    </row>
    <row r="1114" spans="1:4" x14ac:dyDescent="0.3">
      <c r="A1114" s="26">
        <v>43767</v>
      </c>
      <c r="B1114" s="27">
        <v>188.27708435058591</v>
      </c>
      <c r="C1114" s="27">
        <f t="shared" si="37"/>
        <v>5.2379147307033804</v>
      </c>
      <c r="D1114" s="29">
        <f t="shared" si="38"/>
        <v>-9.0732655250724825E-5</v>
      </c>
    </row>
    <row r="1115" spans="1:4" x14ac:dyDescent="0.3">
      <c r="A1115" s="26">
        <v>43768</v>
      </c>
      <c r="B1115" s="27">
        <v>187.222900390625</v>
      </c>
      <c r="C1115" s="27">
        <f t="shared" si="37"/>
        <v>5.2322998877081481</v>
      </c>
      <c r="D1115" s="29">
        <f t="shared" si="38"/>
        <v>-1.0719615121489445E-3</v>
      </c>
    </row>
    <row r="1116" spans="1:4" x14ac:dyDescent="0.3">
      <c r="A1116" s="26">
        <v>43769</v>
      </c>
      <c r="B1116" s="27">
        <v>190.60432434082031</v>
      </c>
      <c r="C1116" s="27">
        <f t="shared" si="37"/>
        <v>5.2501996790048109</v>
      </c>
      <c r="D1116" s="29">
        <f t="shared" si="38"/>
        <v>3.4210178469917807E-3</v>
      </c>
    </row>
    <row r="1117" spans="1:4" x14ac:dyDescent="0.3">
      <c r="A1117" s="26">
        <v>43770</v>
      </c>
      <c r="B1117" s="27">
        <v>192.56358337402341</v>
      </c>
      <c r="C1117" s="27">
        <f t="shared" si="37"/>
        <v>5.2604264024314125</v>
      </c>
      <c r="D1117" s="29">
        <f t="shared" si="38"/>
        <v>1.9478732337547822E-3</v>
      </c>
    </row>
    <row r="1118" spans="1:4" x14ac:dyDescent="0.3">
      <c r="A1118" s="26">
        <v>43773</v>
      </c>
      <c r="B1118" s="27">
        <v>193.65760803222659</v>
      </c>
      <c r="C1118" s="27">
        <f t="shared" si="37"/>
        <v>5.2660916927295709</v>
      </c>
      <c r="D1118" s="29">
        <f t="shared" si="38"/>
        <v>1.0769640832803962E-3</v>
      </c>
    </row>
    <row r="1119" spans="1:4" x14ac:dyDescent="0.3">
      <c r="A1119" s="26">
        <v>43774</v>
      </c>
      <c r="B1119" s="27">
        <v>193.259765625</v>
      </c>
      <c r="C1119" s="27">
        <f t="shared" si="37"/>
        <v>5.2640352198259377</v>
      </c>
      <c r="D1119" s="29">
        <f t="shared" si="38"/>
        <v>-3.9051217176344633E-4</v>
      </c>
    </row>
    <row r="1120" spans="1:4" x14ac:dyDescent="0.3">
      <c r="A1120" s="26">
        <v>43775</v>
      </c>
      <c r="B1120" s="27">
        <v>190.50486755371091</v>
      </c>
      <c r="C1120" s="27">
        <f t="shared" si="37"/>
        <v>5.2496777457033721</v>
      </c>
      <c r="D1120" s="29">
        <f t="shared" si="38"/>
        <v>-2.7274654372544394E-3</v>
      </c>
    </row>
    <row r="1121" spans="1:4" x14ac:dyDescent="0.3">
      <c r="A1121" s="26">
        <v>43776</v>
      </c>
      <c r="B1121" s="27">
        <v>189.38102722167969</v>
      </c>
      <c r="C1121" s="27">
        <f t="shared" si="37"/>
        <v>5.2437610026703281</v>
      </c>
      <c r="D1121" s="29">
        <f t="shared" si="38"/>
        <v>-1.1270678543814361E-3</v>
      </c>
    </row>
    <row r="1122" spans="1:4" x14ac:dyDescent="0.3">
      <c r="A1122" s="26">
        <v>43777</v>
      </c>
      <c r="B1122" s="27">
        <v>189.79872131347659</v>
      </c>
      <c r="C1122" s="27">
        <f t="shared" si="37"/>
        <v>5.2459641491324627</v>
      </c>
      <c r="D1122" s="29">
        <f t="shared" si="38"/>
        <v>4.2014623874209178E-4</v>
      </c>
    </row>
    <row r="1123" spans="1:4" x14ac:dyDescent="0.3">
      <c r="A1123" s="26">
        <v>43780</v>
      </c>
      <c r="B1123" s="27">
        <v>188.57545471191409</v>
      </c>
      <c r="C1123" s="27">
        <f t="shared" si="37"/>
        <v>5.2394982170421782</v>
      </c>
      <c r="D1123" s="29">
        <f t="shared" si="38"/>
        <v>-1.2325536176898133E-3</v>
      </c>
    </row>
    <row r="1124" spans="1:4" x14ac:dyDescent="0.3">
      <c r="A1124" s="26">
        <v>43781</v>
      </c>
      <c r="B1124" s="27">
        <v>193.408935546875</v>
      </c>
      <c r="C1124" s="27">
        <f t="shared" si="37"/>
        <v>5.2648067843659332</v>
      </c>
      <c r="D1124" s="29">
        <f t="shared" si="38"/>
        <v>4.8303418143049726E-3</v>
      </c>
    </row>
    <row r="1125" spans="1:4" x14ac:dyDescent="0.3">
      <c r="A1125" s="26">
        <v>43782</v>
      </c>
      <c r="B1125" s="27">
        <v>192.1359558105469</v>
      </c>
      <c r="C1125" s="27">
        <f t="shared" si="37"/>
        <v>5.258203224620944</v>
      </c>
      <c r="D1125" s="29">
        <f t="shared" si="38"/>
        <v>-1.2542833983193447E-3</v>
      </c>
    </row>
    <row r="1126" spans="1:4" x14ac:dyDescent="0.3">
      <c r="A1126" s="26">
        <v>43783</v>
      </c>
      <c r="B1126" s="27">
        <v>192.09614562988281</v>
      </c>
      <c r="C1126" s="27">
        <f t="shared" si="37"/>
        <v>5.2579960051790628</v>
      </c>
      <c r="D1126" s="29">
        <f t="shared" si="38"/>
        <v>-3.940879289543453E-5</v>
      </c>
    </row>
    <row r="1127" spans="1:4" x14ac:dyDescent="0.3">
      <c r="A1127" s="26">
        <v>43784</v>
      </c>
      <c r="B1127" s="27">
        <v>194.03550720214841</v>
      </c>
      <c r="C1127" s="27">
        <f t="shared" si="37"/>
        <v>5.2680411691311617</v>
      </c>
      <c r="D1127" s="29">
        <f t="shared" si="38"/>
        <v>1.9104548467143712E-3</v>
      </c>
    </row>
    <row r="1128" spans="1:4" x14ac:dyDescent="0.3">
      <c r="A1128" s="26">
        <v>43787</v>
      </c>
      <c r="B1128" s="27">
        <v>196.32298278808591</v>
      </c>
      <c r="C1128" s="27">
        <f t="shared" si="37"/>
        <v>5.2797611743480264</v>
      </c>
      <c r="D1128" s="29">
        <f t="shared" si="38"/>
        <v>2.2247368311278937E-3</v>
      </c>
    </row>
    <row r="1129" spans="1:4" x14ac:dyDescent="0.3">
      <c r="A1129" s="26">
        <v>43788</v>
      </c>
      <c r="B1129" s="27">
        <v>198.23248291015619</v>
      </c>
      <c r="C1129" s="27">
        <f t="shared" si="37"/>
        <v>5.2894404980242538</v>
      </c>
      <c r="D1129" s="29">
        <f t="shared" si="38"/>
        <v>1.8332881652403099E-3</v>
      </c>
    </row>
    <row r="1130" spans="1:4" x14ac:dyDescent="0.3">
      <c r="A1130" s="26">
        <v>43789</v>
      </c>
      <c r="B1130" s="27">
        <v>196.43235778808591</v>
      </c>
      <c r="C1130" s="27">
        <f t="shared" si="37"/>
        <v>5.2803181368716521</v>
      </c>
      <c r="D1130" s="29">
        <f t="shared" si="38"/>
        <v>-1.7246363119141073E-3</v>
      </c>
    </row>
    <row r="1131" spans="1:4" x14ac:dyDescent="0.3">
      <c r="A1131" s="26">
        <v>43790</v>
      </c>
      <c r="B1131" s="27">
        <v>196.85008239746091</v>
      </c>
      <c r="C1131" s="27">
        <f t="shared" si="37"/>
        <v>5.2824424359695978</v>
      </c>
      <c r="D1131" s="29">
        <f t="shared" si="38"/>
        <v>4.0230513444106109E-4</v>
      </c>
    </row>
    <row r="1132" spans="1:4" x14ac:dyDescent="0.3">
      <c r="A1132" s="26">
        <v>43791</v>
      </c>
      <c r="B1132" s="27">
        <v>197.7352294921875</v>
      </c>
      <c r="C1132" s="27">
        <f t="shared" si="37"/>
        <v>5.2869289110246758</v>
      </c>
      <c r="D1132" s="29">
        <f t="shared" si="38"/>
        <v>8.4931830482970483E-4</v>
      </c>
    </row>
    <row r="1133" spans="1:4" x14ac:dyDescent="0.3">
      <c r="A1133" s="26">
        <v>43794</v>
      </c>
      <c r="B1133" s="27">
        <v>198.6999206542969</v>
      </c>
      <c r="C1133" s="27">
        <f t="shared" si="37"/>
        <v>5.2917957502335691</v>
      </c>
      <c r="D1133" s="29">
        <f t="shared" si="38"/>
        <v>9.2054182887624236E-4</v>
      </c>
    </row>
    <row r="1134" spans="1:4" x14ac:dyDescent="0.3">
      <c r="A1134" s="26">
        <v>43795</v>
      </c>
      <c r="B1134" s="27">
        <v>197.88441467285159</v>
      </c>
      <c r="C1134" s="27">
        <f t="shared" si="37"/>
        <v>5.2876830959593004</v>
      </c>
      <c r="D1134" s="29">
        <f t="shared" si="38"/>
        <v>-7.771755503011013E-4</v>
      </c>
    </row>
    <row r="1135" spans="1:4" x14ac:dyDescent="0.3">
      <c r="A1135" s="26">
        <v>43796</v>
      </c>
      <c r="B1135" s="27">
        <v>200.89787292480469</v>
      </c>
      <c r="C1135" s="27">
        <f t="shared" si="37"/>
        <v>5.3027966840336518</v>
      </c>
      <c r="D1135" s="29">
        <f t="shared" si="38"/>
        <v>2.8582628346054406E-3</v>
      </c>
    </row>
    <row r="1136" spans="1:4" x14ac:dyDescent="0.3">
      <c r="A1136" s="26">
        <v>43798</v>
      </c>
      <c r="B1136" s="27">
        <v>200.5398254394531</v>
      </c>
      <c r="C1136" s="27">
        <f t="shared" si="37"/>
        <v>5.3010128576428874</v>
      </c>
      <c r="D1136" s="29">
        <f t="shared" si="38"/>
        <v>-3.3639351026515385E-4</v>
      </c>
    </row>
    <row r="1137" spans="1:4" x14ac:dyDescent="0.3">
      <c r="A1137" s="26">
        <v>43801</v>
      </c>
      <c r="B1137" s="27">
        <v>198.61041259765619</v>
      </c>
      <c r="C1137" s="27">
        <f t="shared" si="37"/>
        <v>5.2913451802349369</v>
      </c>
      <c r="D1137" s="29">
        <f t="shared" si="38"/>
        <v>-1.8237415504495091E-3</v>
      </c>
    </row>
    <row r="1138" spans="1:4" x14ac:dyDescent="0.3">
      <c r="A1138" s="26">
        <v>43802</v>
      </c>
      <c r="B1138" s="27">
        <v>197.7352294921875</v>
      </c>
      <c r="C1138" s="27">
        <f t="shared" si="37"/>
        <v>5.2869289110246758</v>
      </c>
      <c r="D1138" s="29">
        <f t="shared" si="38"/>
        <v>-8.3462126545008619E-4</v>
      </c>
    </row>
    <row r="1139" spans="1:4" x14ac:dyDescent="0.3">
      <c r="A1139" s="26">
        <v>43803</v>
      </c>
      <c r="B1139" s="27">
        <v>197.6258239746094</v>
      </c>
      <c r="C1139" s="27">
        <f t="shared" si="37"/>
        <v>5.286375464905432</v>
      </c>
      <c r="D1139" s="29">
        <f t="shared" si="38"/>
        <v>-1.0468196727397849E-4</v>
      </c>
    </row>
    <row r="1140" spans="1:4" x14ac:dyDescent="0.3">
      <c r="A1140" s="26">
        <v>43804</v>
      </c>
      <c r="B1140" s="27">
        <v>198.27226257324219</v>
      </c>
      <c r="C1140" s="27">
        <f t="shared" si="37"/>
        <v>5.2896411496617057</v>
      </c>
      <c r="D1140" s="29">
        <f t="shared" si="38"/>
        <v>6.1775497747995622E-4</v>
      </c>
    </row>
    <row r="1141" spans="1:4" x14ac:dyDescent="0.3">
      <c r="A1141" s="26">
        <v>43805</v>
      </c>
      <c r="B1141" s="27">
        <v>199.95304870605469</v>
      </c>
      <c r="C1141" s="27">
        <f t="shared" si="37"/>
        <v>5.2980825825186972</v>
      </c>
      <c r="D1141" s="29">
        <f t="shared" si="38"/>
        <v>1.5958422543524975E-3</v>
      </c>
    </row>
    <row r="1142" spans="1:4" x14ac:dyDescent="0.3">
      <c r="A1142" s="26">
        <v>43808</v>
      </c>
      <c r="B1142" s="27">
        <v>200.241455078125</v>
      </c>
      <c r="C1142" s="27">
        <f t="shared" si="37"/>
        <v>5.2995239137677368</v>
      </c>
      <c r="D1142" s="29">
        <f t="shared" si="38"/>
        <v>2.7204771284528029E-4</v>
      </c>
    </row>
    <row r="1143" spans="1:4" x14ac:dyDescent="0.3">
      <c r="A1143" s="26">
        <v>43809</v>
      </c>
      <c r="B1143" s="27">
        <v>199.77403259277341</v>
      </c>
      <c r="C1143" s="27">
        <f t="shared" si="37"/>
        <v>5.2971868907648743</v>
      </c>
      <c r="D1143" s="29">
        <f t="shared" si="38"/>
        <v>-4.4098734922037863E-4</v>
      </c>
    </row>
    <row r="1144" spans="1:4" x14ac:dyDescent="0.3">
      <c r="A1144" s="26">
        <v>43810</v>
      </c>
      <c r="B1144" s="27">
        <v>201.15644836425781</v>
      </c>
      <c r="C1144" s="27">
        <f t="shared" si="37"/>
        <v>5.3040829553726843</v>
      </c>
      <c r="D1144" s="29">
        <f t="shared" si="38"/>
        <v>1.3018352476543704E-3</v>
      </c>
    </row>
    <row r="1145" spans="1:4" x14ac:dyDescent="0.3">
      <c r="A1145" s="26">
        <v>43811</v>
      </c>
      <c r="B1145" s="27">
        <v>195.67649841308591</v>
      </c>
      <c r="C1145" s="27">
        <f t="shared" si="37"/>
        <v>5.2764627773239603</v>
      </c>
      <c r="D1145" s="29">
        <f t="shared" si="38"/>
        <v>-5.2073427736921696E-3</v>
      </c>
    </row>
    <row r="1146" spans="1:4" x14ac:dyDescent="0.3">
      <c r="A1146" s="26">
        <v>43812</v>
      </c>
      <c r="B1146" s="27">
        <v>193.0509033203125</v>
      </c>
      <c r="C1146" s="27">
        <f t="shared" si="37"/>
        <v>5.2629539019031961</v>
      </c>
      <c r="D1146" s="29">
        <f t="shared" si="38"/>
        <v>-2.5602142933367489E-3</v>
      </c>
    </row>
    <row r="1147" spans="1:4" x14ac:dyDescent="0.3">
      <c r="A1147" s="26">
        <v>43815</v>
      </c>
      <c r="B1147" s="27">
        <v>196.84010314941409</v>
      </c>
      <c r="C1147" s="27">
        <f t="shared" si="37"/>
        <v>5.2823917400243321</v>
      </c>
      <c r="D1147" s="29">
        <f t="shared" si="38"/>
        <v>3.6933323915504523E-3</v>
      </c>
    </row>
    <row r="1148" spans="1:4" x14ac:dyDescent="0.3">
      <c r="A1148" s="26">
        <v>43816</v>
      </c>
      <c r="B1148" s="27">
        <v>197.30757141113281</v>
      </c>
      <c r="C1148" s="27">
        <f t="shared" si="37"/>
        <v>5.2847637874120448</v>
      </c>
      <c r="D1148" s="29">
        <f t="shared" si="38"/>
        <v>4.4904798895162301E-4</v>
      </c>
    </row>
    <row r="1149" spans="1:4" x14ac:dyDescent="0.3">
      <c r="A1149" s="26">
        <v>43817</v>
      </c>
      <c r="B1149" s="27">
        <v>201.39515686035159</v>
      </c>
      <c r="C1149" s="27">
        <f t="shared" si="37"/>
        <v>5.3052689326286444</v>
      </c>
      <c r="D1149" s="29">
        <f t="shared" si="38"/>
        <v>3.8800495237727439E-3</v>
      </c>
    </row>
    <row r="1150" spans="1:4" x14ac:dyDescent="0.3">
      <c r="A1150" s="26">
        <v>43818</v>
      </c>
      <c r="B1150" s="27">
        <v>204.9356994628906</v>
      </c>
      <c r="C1150" s="27">
        <f t="shared" si="37"/>
        <v>5.3226962687798274</v>
      </c>
      <c r="D1150" s="29">
        <f t="shared" si="38"/>
        <v>3.2849109767085771E-3</v>
      </c>
    </row>
    <row r="1151" spans="1:4" x14ac:dyDescent="0.3">
      <c r="A1151" s="26">
        <v>43819</v>
      </c>
      <c r="B1151" s="27">
        <v>205.17439270019531</v>
      </c>
      <c r="C1151" s="27">
        <f t="shared" si="37"/>
        <v>5.3238603136000764</v>
      </c>
      <c r="D1151" s="29">
        <f t="shared" si="38"/>
        <v>2.1869457911338763E-4</v>
      </c>
    </row>
    <row r="1152" spans="1:4" x14ac:dyDescent="0.3">
      <c r="A1152" s="26">
        <v>43822</v>
      </c>
      <c r="B1152" s="27">
        <v>205.05503845214841</v>
      </c>
      <c r="C1152" s="27">
        <f t="shared" si="37"/>
        <v>5.3232784233584169</v>
      </c>
      <c r="D1152" s="29">
        <f t="shared" si="38"/>
        <v>-1.0929855544350442E-4</v>
      </c>
    </row>
    <row r="1153" spans="1:4" x14ac:dyDescent="0.3">
      <c r="A1153" s="26">
        <v>43823</v>
      </c>
      <c r="B1153" s="27">
        <v>204.00083923339841</v>
      </c>
      <c r="C1153" s="27">
        <f t="shared" si="37"/>
        <v>5.3181241077249624</v>
      </c>
      <c r="D1153" s="29">
        <f t="shared" si="38"/>
        <v>-9.6825963692559469E-4</v>
      </c>
    </row>
    <row r="1154" spans="1:4" x14ac:dyDescent="0.3">
      <c r="A1154" s="26">
        <v>43825</v>
      </c>
      <c r="B1154" s="27">
        <v>206.65626525878909</v>
      </c>
      <c r="C1154" s="27">
        <f t="shared" si="37"/>
        <v>5.3310568587115048</v>
      </c>
      <c r="D1154" s="29">
        <f t="shared" si="38"/>
        <v>2.4318257198543414E-3</v>
      </c>
    </row>
    <row r="1155" spans="1:4" x14ac:dyDescent="0.3">
      <c r="A1155" s="26">
        <v>43826</v>
      </c>
      <c r="B1155" s="27">
        <v>206.964599609375</v>
      </c>
      <c r="C1155" s="27">
        <f t="shared" ref="C1155:C1218" si="39">LN(B1155)</f>
        <v>5.3325477622605693</v>
      </c>
      <c r="D1155" s="29">
        <f t="shared" si="38"/>
        <v>2.796637868582863E-4</v>
      </c>
    </row>
    <row r="1156" spans="1:4" x14ac:dyDescent="0.3">
      <c r="A1156" s="26">
        <v>43829</v>
      </c>
      <c r="B1156" s="27">
        <v>203.2947082519531</v>
      </c>
      <c r="C1156" s="27">
        <f t="shared" si="39"/>
        <v>5.3146566910380484</v>
      </c>
      <c r="D1156" s="29">
        <f t="shared" ref="D1156:D1219" si="40">C1156/C1155-1</f>
        <v>-3.3550700378418563E-3</v>
      </c>
    </row>
    <row r="1157" spans="1:4" x14ac:dyDescent="0.3">
      <c r="A1157" s="26">
        <v>43830</v>
      </c>
      <c r="B1157" s="27">
        <v>204.13014221191409</v>
      </c>
      <c r="C1157" s="27">
        <f t="shared" si="39"/>
        <v>5.3187577424585175</v>
      </c>
      <c r="D1157" s="29">
        <f t="shared" si="40"/>
        <v>7.7164935740525742E-4</v>
      </c>
    </row>
    <row r="1158" spans="1:4" x14ac:dyDescent="0.3">
      <c r="A1158" s="26">
        <v>43832</v>
      </c>
      <c r="B1158" s="27">
        <v>208.6354064941406</v>
      </c>
      <c r="C1158" s="27">
        <f t="shared" si="39"/>
        <v>5.3405882620759684</v>
      </c>
      <c r="D1158" s="29">
        <f t="shared" si="40"/>
        <v>4.1044395466975914E-3</v>
      </c>
    </row>
    <row r="1159" spans="1:4" x14ac:dyDescent="0.3">
      <c r="A1159" s="26">
        <v>43833</v>
      </c>
      <c r="B1159" s="27">
        <v>207.5314636230469</v>
      </c>
      <c r="C1159" s="27">
        <f t="shared" si="39"/>
        <v>5.3352829600940943</v>
      </c>
      <c r="D1159" s="29">
        <f t="shared" si="40"/>
        <v>-9.9339281021670889E-4</v>
      </c>
    </row>
    <row r="1160" spans="1:4" x14ac:dyDescent="0.3">
      <c r="A1160" s="26">
        <v>43836</v>
      </c>
      <c r="B1160" s="27">
        <v>211.4400329589844</v>
      </c>
      <c r="C1160" s="27">
        <f t="shared" si="39"/>
        <v>5.3539414261746838</v>
      </c>
      <c r="D1160" s="29">
        <f t="shared" si="40"/>
        <v>3.4971839769601942E-3</v>
      </c>
    </row>
    <row r="1161" spans="1:4" x14ac:dyDescent="0.3">
      <c r="A1161" s="26">
        <v>43837</v>
      </c>
      <c r="B1161" s="27">
        <v>211.89752197265619</v>
      </c>
      <c r="C1161" s="27">
        <f t="shared" si="39"/>
        <v>5.3561027708814581</v>
      </c>
      <c r="D1161" s="29">
        <f t="shared" si="40"/>
        <v>4.0369225860548141E-4</v>
      </c>
    </row>
    <row r="1162" spans="1:4" x14ac:dyDescent="0.3">
      <c r="A1162" s="26">
        <v>43838</v>
      </c>
      <c r="B1162" s="27">
        <v>214.04573059082031</v>
      </c>
      <c r="C1162" s="27">
        <f t="shared" si="39"/>
        <v>5.3661896865420937</v>
      </c>
      <c r="D1162" s="29">
        <f t="shared" si="40"/>
        <v>1.8832565565158887E-3</v>
      </c>
    </row>
    <row r="1163" spans="1:4" x14ac:dyDescent="0.3">
      <c r="A1163" s="26">
        <v>43839</v>
      </c>
      <c r="B1163" s="27">
        <v>217.1089172363281</v>
      </c>
      <c r="C1163" s="27">
        <f t="shared" si="39"/>
        <v>5.3803991503674258</v>
      </c>
      <c r="D1163" s="29">
        <f t="shared" si="40"/>
        <v>2.6479615249099808E-3</v>
      </c>
    </row>
    <row r="1164" spans="1:4" x14ac:dyDescent="0.3">
      <c r="A1164" s="26">
        <v>43840</v>
      </c>
      <c r="B1164" s="27">
        <v>216.8702392578125</v>
      </c>
      <c r="C1164" s="27">
        <f t="shared" si="39"/>
        <v>5.3792991989111938</v>
      </c>
      <c r="D1164" s="29">
        <f t="shared" si="40"/>
        <v>-2.0443677606274413E-4</v>
      </c>
    </row>
    <row r="1165" spans="1:4" x14ac:dyDescent="0.3">
      <c r="A1165" s="26">
        <v>43843</v>
      </c>
      <c r="B1165" s="27">
        <v>220.69923400878909</v>
      </c>
      <c r="C1165" s="27">
        <f t="shared" si="39"/>
        <v>5.3968008425216842</v>
      </c>
      <c r="D1165" s="29">
        <f t="shared" si="40"/>
        <v>3.2535174124601607E-3</v>
      </c>
    </row>
    <row r="1166" spans="1:4" x14ac:dyDescent="0.3">
      <c r="A1166" s="26">
        <v>43844</v>
      </c>
      <c r="B1166" s="27">
        <v>217.8647766113281</v>
      </c>
      <c r="C1166" s="27">
        <f t="shared" si="39"/>
        <v>5.3838745795554512</v>
      </c>
      <c r="D1166" s="29">
        <f t="shared" si="40"/>
        <v>-2.3951713882762737E-3</v>
      </c>
    </row>
    <row r="1167" spans="1:4" x14ac:dyDescent="0.3">
      <c r="A1167" s="26">
        <v>43845</v>
      </c>
      <c r="B1167" s="27">
        <v>219.94337463378909</v>
      </c>
      <c r="C1167" s="27">
        <f t="shared" si="39"/>
        <v>5.3933701251941466</v>
      </c>
      <c r="D1167" s="29">
        <f t="shared" si="40"/>
        <v>1.7637011223763377E-3</v>
      </c>
    </row>
    <row r="1168" spans="1:4" x14ac:dyDescent="0.3">
      <c r="A1168" s="26">
        <v>43846</v>
      </c>
      <c r="B1168" s="27">
        <v>220.55999755859381</v>
      </c>
      <c r="C1168" s="27">
        <f t="shared" si="39"/>
        <v>5.3961697556464161</v>
      </c>
      <c r="D1168" s="29">
        <f t="shared" si="40"/>
        <v>5.1908739568817808E-4</v>
      </c>
    </row>
    <row r="1169" spans="1:4" x14ac:dyDescent="0.3">
      <c r="A1169" s="26">
        <v>43847</v>
      </c>
      <c r="B1169" s="27">
        <v>220.927978515625</v>
      </c>
      <c r="C1169" s="27">
        <f t="shared" si="39"/>
        <v>5.3978367593348002</v>
      </c>
      <c r="D1169" s="29">
        <f t="shared" si="40"/>
        <v>3.0892350757505405E-4</v>
      </c>
    </row>
    <row r="1170" spans="1:4" x14ac:dyDescent="0.3">
      <c r="A1170" s="26">
        <v>43851</v>
      </c>
      <c r="B1170" s="27">
        <v>220.23179626464841</v>
      </c>
      <c r="C1170" s="27">
        <f t="shared" si="39"/>
        <v>5.394680611069794</v>
      </c>
      <c r="D1170" s="29">
        <f t="shared" si="40"/>
        <v>-5.8470613427652474E-4</v>
      </c>
    </row>
    <row r="1171" spans="1:4" x14ac:dyDescent="0.3">
      <c r="A1171" s="26">
        <v>43852</v>
      </c>
      <c r="B1171" s="27">
        <v>220.11244201660159</v>
      </c>
      <c r="C1171" s="27">
        <f t="shared" si="39"/>
        <v>5.3941385158606661</v>
      </c>
      <c r="D1171" s="29">
        <f t="shared" si="40"/>
        <v>-1.0048698861164773E-4</v>
      </c>
    </row>
    <row r="1172" spans="1:4" x14ac:dyDescent="0.3">
      <c r="A1172" s="26">
        <v>43853</v>
      </c>
      <c r="B1172" s="27">
        <v>218.5609436035156</v>
      </c>
      <c r="C1172" s="27">
        <f t="shared" si="39"/>
        <v>5.3870648937391179</v>
      </c>
      <c r="D1172" s="29">
        <f t="shared" si="40"/>
        <v>-1.3113534442523722E-3</v>
      </c>
    </row>
    <row r="1173" spans="1:4" x14ac:dyDescent="0.3">
      <c r="A1173" s="26">
        <v>43854</v>
      </c>
      <c r="B1173" s="27">
        <v>216.7508850097656</v>
      </c>
      <c r="C1173" s="27">
        <f t="shared" si="39"/>
        <v>5.3787486987423527</v>
      </c>
      <c r="D1173" s="29">
        <f t="shared" si="40"/>
        <v>-1.5437339554662532E-3</v>
      </c>
    </row>
    <row r="1174" spans="1:4" x14ac:dyDescent="0.3">
      <c r="A1174" s="26">
        <v>43857</v>
      </c>
      <c r="B1174" s="27">
        <v>213.6976318359375</v>
      </c>
      <c r="C1174" s="27">
        <f t="shared" si="39"/>
        <v>5.3645620805413667</v>
      </c>
      <c r="D1174" s="29">
        <f t="shared" si="40"/>
        <v>-2.6375313284859869E-3</v>
      </c>
    </row>
    <row r="1175" spans="1:4" x14ac:dyDescent="0.3">
      <c r="A1175" s="26">
        <v>43858</v>
      </c>
      <c r="B1175" s="27">
        <v>216.60169982910159</v>
      </c>
      <c r="C1175" s="27">
        <f t="shared" si="39"/>
        <v>5.378060182315882</v>
      </c>
      <c r="D1175" s="29">
        <f t="shared" si="40"/>
        <v>2.5161609786334971E-3</v>
      </c>
    </row>
    <row r="1176" spans="1:4" x14ac:dyDescent="0.3">
      <c r="A1176" s="26">
        <v>43859</v>
      </c>
      <c r="B1176" s="27">
        <v>222.01200866699219</v>
      </c>
      <c r="C1176" s="27">
        <f t="shared" si="39"/>
        <v>5.4027314735038603</v>
      </c>
      <c r="D1176" s="29">
        <f t="shared" si="40"/>
        <v>4.5873958921289759E-3</v>
      </c>
    </row>
    <row r="1177" spans="1:4" x14ac:dyDescent="0.3">
      <c r="A1177" s="26">
        <v>43860</v>
      </c>
      <c r="B1177" s="27">
        <v>208.38677978515619</v>
      </c>
      <c r="C1177" s="27">
        <f t="shared" si="39"/>
        <v>5.3393958711355207</v>
      </c>
      <c r="D1177" s="29">
        <f t="shared" si="40"/>
        <v>-1.1722885484675816E-2</v>
      </c>
    </row>
    <row r="1178" spans="1:4" x14ac:dyDescent="0.3">
      <c r="A1178" s="26">
        <v>43861</v>
      </c>
      <c r="B1178" s="27">
        <v>200.80836486816409</v>
      </c>
      <c r="C1178" s="27">
        <f t="shared" si="39"/>
        <v>5.302351044659896</v>
      </c>
      <c r="D1178" s="29">
        <f t="shared" si="40"/>
        <v>-6.9380183394692763E-3</v>
      </c>
    </row>
    <row r="1179" spans="1:4" x14ac:dyDescent="0.3">
      <c r="A1179" s="26">
        <v>43864</v>
      </c>
      <c r="B1179" s="27">
        <v>203.0758972167969</v>
      </c>
      <c r="C1179" s="27">
        <f t="shared" si="39"/>
        <v>5.3135797870821113</v>
      </c>
      <c r="D1179" s="29">
        <f t="shared" si="40"/>
        <v>2.1176912519822455E-3</v>
      </c>
    </row>
    <row r="1180" spans="1:4" x14ac:dyDescent="0.3">
      <c r="A1180" s="26">
        <v>43865</v>
      </c>
      <c r="B1180" s="27">
        <v>208.68513488769531</v>
      </c>
      <c r="C1180" s="27">
        <f t="shared" si="39"/>
        <v>5.3408265843671519</v>
      </c>
      <c r="D1180" s="29">
        <f t="shared" si="40"/>
        <v>5.1277666614286677E-3</v>
      </c>
    </row>
    <row r="1181" spans="1:4" x14ac:dyDescent="0.3">
      <c r="A1181" s="26">
        <v>43866</v>
      </c>
      <c r="B1181" s="27">
        <v>208.96360778808591</v>
      </c>
      <c r="C1181" s="27">
        <f t="shared" si="39"/>
        <v>5.342160111387364</v>
      </c>
      <c r="D1181" s="29">
        <f t="shared" si="40"/>
        <v>2.4968551199844313E-4</v>
      </c>
    </row>
    <row r="1182" spans="1:4" x14ac:dyDescent="0.3">
      <c r="A1182" s="26">
        <v>43867</v>
      </c>
      <c r="B1182" s="27">
        <v>209.6995849609375</v>
      </c>
      <c r="C1182" s="27">
        <f t="shared" si="39"/>
        <v>5.3456759587019933</v>
      </c>
      <c r="D1182" s="29">
        <f t="shared" si="40"/>
        <v>6.5813214904109074E-4</v>
      </c>
    </row>
    <row r="1183" spans="1:4" x14ac:dyDescent="0.3">
      <c r="A1183" s="26">
        <v>43868</v>
      </c>
      <c r="B1183" s="27">
        <v>211.1714782714844</v>
      </c>
      <c r="C1183" s="27">
        <f t="shared" si="39"/>
        <v>5.3526704966495187</v>
      </c>
      <c r="D1183" s="29">
        <f t="shared" si="40"/>
        <v>1.3084477999716349E-3</v>
      </c>
    </row>
    <row r="1184" spans="1:4" x14ac:dyDescent="0.3">
      <c r="A1184" s="26">
        <v>43871</v>
      </c>
      <c r="B1184" s="27">
        <v>211.89752197265619</v>
      </c>
      <c r="C1184" s="27">
        <f t="shared" si="39"/>
        <v>5.3561027708814581</v>
      </c>
      <c r="D1184" s="29">
        <f t="shared" si="40"/>
        <v>6.4122651190423596E-4</v>
      </c>
    </row>
    <row r="1185" spans="1:4" x14ac:dyDescent="0.3">
      <c r="A1185" s="26">
        <v>43872</v>
      </c>
      <c r="B1185" s="27">
        <v>206.0595397949219</v>
      </c>
      <c r="C1185" s="27">
        <f t="shared" si="39"/>
        <v>5.3281651551596863</v>
      </c>
      <c r="D1185" s="29">
        <f t="shared" si="40"/>
        <v>-5.2160342915104074E-3</v>
      </c>
    </row>
    <row r="1186" spans="1:4" x14ac:dyDescent="0.3">
      <c r="A1186" s="26">
        <v>43873</v>
      </c>
      <c r="B1186" s="27">
        <v>209.61004638671881</v>
      </c>
      <c r="C1186" s="27">
        <f t="shared" si="39"/>
        <v>5.3452488825325677</v>
      </c>
      <c r="D1186" s="29">
        <f t="shared" si="40"/>
        <v>3.2063058999471927E-3</v>
      </c>
    </row>
    <row r="1187" spans="1:4" x14ac:dyDescent="0.3">
      <c r="A1187" s="26">
        <v>43874</v>
      </c>
      <c r="B1187" s="27">
        <v>211.97709655761719</v>
      </c>
      <c r="C1187" s="27">
        <f t="shared" si="39"/>
        <v>5.356478233730221</v>
      </c>
      <c r="D1187" s="29">
        <f t="shared" si="40"/>
        <v>2.1008097928516545E-3</v>
      </c>
    </row>
    <row r="1188" spans="1:4" x14ac:dyDescent="0.3">
      <c r="A1188" s="26">
        <v>43875</v>
      </c>
      <c r="B1188" s="27">
        <v>213.01141357421881</v>
      </c>
      <c r="C1188" s="27">
        <f t="shared" si="39"/>
        <v>5.3613457491292955</v>
      </c>
      <c r="D1188" s="29">
        <f t="shared" si="40"/>
        <v>9.0871561251248956E-4</v>
      </c>
    </row>
    <row r="1189" spans="1:4" x14ac:dyDescent="0.3">
      <c r="A1189" s="26">
        <v>43879</v>
      </c>
      <c r="B1189" s="27">
        <v>216.61164855957031</v>
      </c>
      <c r="C1189" s="27">
        <f t="shared" si="39"/>
        <v>5.3781061122509017</v>
      </c>
      <c r="D1189" s="29">
        <f t="shared" si="40"/>
        <v>3.1261485279752144E-3</v>
      </c>
    </row>
    <row r="1190" spans="1:4" x14ac:dyDescent="0.3">
      <c r="A1190" s="26">
        <v>43880</v>
      </c>
      <c r="B1190" s="27">
        <v>216.30332946777341</v>
      </c>
      <c r="C1190" s="27">
        <f t="shared" si="39"/>
        <v>5.3766817256642776</v>
      </c>
      <c r="D1190" s="29">
        <f t="shared" si="40"/>
        <v>-2.6484910429336317E-4</v>
      </c>
    </row>
    <row r="1191" spans="1:4" x14ac:dyDescent="0.3">
      <c r="A1191" s="26">
        <v>43881</v>
      </c>
      <c r="B1191" s="27">
        <v>213.40922546386719</v>
      </c>
      <c r="C1191" s="27">
        <f t="shared" si="39"/>
        <v>5.3632115687854629</v>
      </c>
      <c r="D1191" s="29">
        <f t="shared" si="40"/>
        <v>-2.5052918446926142E-3</v>
      </c>
    </row>
    <row r="1192" spans="1:4" x14ac:dyDescent="0.3">
      <c r="A1192" s="26">
        <v>43882</v>
      </c>
      <c r="B1192" s="27">
        <v>209.03324890136719</v>
      </c>
      <c r="C1192" s="27">
        <f t="shared" si="39"/>
        <v>5.3424933249645052</v>
      </c>
      <c r="D1192" s="29">
        <f t="shared" si="40"/>
        <v>-3.8630293724640774E-3</v>
      </c>
    </row>
    <row r="1193" spans="1:4" x14ac:dyDescent="0.3">
      <c r="A1193" s="26">
        <v>43885</v>
      </c>
      <c r="B1193" s="27">
        <v>199.62483215332031</v>
      </c>
      <c r="C1193" s="27">
        <f t="shared" si="39"/>
        <v>5.296439765724906</v>
      </c>
      <c r="D1193" s="29">
        <f t="shared" si="40"/>
        <v>-8.6202371137085176E-3</v>
      </c>
    </row>
    <row r="1194" spans="1:4" x14ac:dyDescent="0.3">
      <c r="A1194" s="26">
        <v>43886</v>
      </c>
      <c r="B1194" s="27">
        <v>195.69639587402341</v>
      </c>
      <c r="C1194" s="27">
        <f t="shared" si="39"/>
        <v>5.2765644576459509</v>
      </c>
      <c r="D1194" s="29">
        <f t="shared" si="40"/>
        <v>-3.7525788941422666E-3</v>
      </c>
    </row>
    <row r="1195" spans="1:4" x14ac:dyDescent="0.3">
      <c r="A1195" s="26">
        <v>43887</v>
      </c>
      <c r="B1195" s="27">
        <v>196.1240539550781</v>
      </c>
      <c r="C1195" s="27">
        <f t="shared" si="39"/>
        <v>5.2787473873580861</v>
      </c>
      <c r="D1195" s="29">
        <f t="shared" si="40"/>
        <v>4.1370284200215046E-4</v>
      </c>
    </row>
    <row r="1196" spans="1:4" x14ac:dyDescent="0.3">
      <c r="A1196" s="26">
        <v>43888</v>
      </c>
      <c r="B1196" s="27">
        <v>188.71470642089841</v>
      </c>
      <c r="C1196" s="27">
        <f t="shared" si="39"/>
        <v>5.2402363847955558</v>
      </c>
      <c r="D1196" s="29">
        <f t="shared" si="40"/>
        <v>-7.2954812451830886E-3</v>
      </c>
    </row>
    <row r="1197" spans="1:4" x14ac:dyDescent="0.3">
      <c r="A1197" s="26">
        <v>43889</v>
      </c>
      <c r="B1197" s="27">
        <v>191.41986083984381</v>
      </c>
      <c r="C1197" s="27">
        <f t="shared" si="39"/>
        <v>5.2544692397789046</v>
      </c>
      <c r="D1197" s="29">
        <f t="shared" si="40"/>
        <v>2.7160711727900466E-3</v>
      </c>
    </row>
    <row r="1198" spans="1:4" x14ac:dyDescent="0.3">
      <c r="A1198" s="26">
        <v>43892</v>
      </c>
      <c r="B1198" s="27">
        <v>195.3681945800781</v>
      </c>
      <c r="C1198" s="27">
        <f t="shared" si="39"/>
        <v>5.2748859555314045</v>
      </c>
      <c r="D1198" s="29">
        <f t="shared" si="40"/>
        <v>3.885590498453384E-3</v>
      </c>
    </row>
    <row r="1199" spans="1:4" x14ac:dyDescent="0.3">
      <c r="A1199" s="26">
        <v>43893</v>
      </c>
      <c r="B1199" s="27">
        <v>184.87577819824219</v>
      </c>
      <c r="C1199" s="27">
        <f t="shared" si="39"/>
        <v>5.2196841303432251</v>
      </c>
      <c r="D1199" s="29">
        <f t="shared" si="40"/>
        <v>-1.0465027235383784E-2</v>
      </c>
    </row>
    <row r="1200" spans="1:4" x14ac:dyDescent="0.3">
      <c r="A1200" s="26">
        <v>43894</v>
      </c>
      <c r="B1200" s="27">
        <v>190.7137451171875</v>
      </c>
      <c r="C1200" s="27">
        <f t="shared" si="39"/>
        <v>5.2507735871834926</v>
      </c>
      <c r="D1200" s="29">
        <f t="shared" si="40"/>
        <v>5.956195061600944E-3</v>
      </c>
    </row>
    <row r="1201" spans="1:4" x14ac:dyDescent="0.3">
      <c r="A1201" s="26">
        <v>43895</v>
      </c>
      <c r="B1201" s="27">
        <v>184.15968322753909</v>
      </c>
      <c r="C1201" s="27">
        <f t="shared" si="39"/>
        <v>5.215803224878365</v>
      </c>
      <c r="D1201" s="29">
        <f t="shared" si="40"/>
        <v>-6.6600400349552391E-3</v>
      </c>
    </row>
    <row r="1202" spans="1:4" x14ac:dyDescent="0.3">
      <c r="A1202" s="26">
        <v>43896</v>
      </c>
      <c r="B1202" s="27">
        <v>180.10194396972659</v>
      </c>
      <c r="C1202" s="27">
        <f t="shared" si="39"/>
        <v>5.193523045958897</v>
      </c>
      <c r="D1202" s="29">
        <f t="shared" si="40"/>
        <v>-4.2716678445988698E-3</v>
      </c>
    </row>
    <row r="1203" spans="1:4" x14ac:dyDescent="0.3">
      <c r="A1203" s="26">
        <v>43899</v>
      </c>
      <c r="B1203" s="27">
        <v>168.5751953125</v>
      </c>
      <c r="C1203" s="27">
        <f t="shared" si="39"/>
        <v>5.127381913228902</v>
      </c>
      <c r="D1203" s="29">
        <f t="shared" si="40"/>
        <v>-1.2735311299226781E-2</v>
      </c>
    </row>
    <row r="1204" spans="1:4" x14ac:dyDescent="0.3">
      <c r="A1204" s="26">
        <v>43900</v>
      </c>
      <c r="B1204" s="27">
        <v>177.21778869628909</v>
      </c>
      <c r="C1204" s="27">
        <f t="shared" si="39"/>
        <v>5.17737942080905</v>
      </c>
      <c r="D1204" s="29">
        <f t="shared" si="40"/>
        <v>9.7510792888573228E-3</v>
      </c>
    </row>
    <row r="1205" spans="1:4" x14ac:dyDescent="0.3">
      <c r="A1205" s="26">
        <v>43901</v>
      </c>
      <c r="B1205" s="27">
        <v>169.31114196777341</v>
      </c>
      <c r="C1205" s="27">
        <f t="shared" si="39"/>
        <v>5.131738098950974</v>
      </c>
      <c r="D1205" s="29">
        <f t="shared" si="40"/>
        <v>-8.8155257995258252E-3</v>
      </c>
    </row>
    <row r="1206" spans="1:4" x14ac:dyDescent="0.3">
      <c r="A1206" s="26">
        <v>43902</v>
      </c>
      <c r="B1206" s="27">
        <v>153.62718200683591</v>
      </c>
      <c r="C1206" s="27">
        <f t="shared" si="39"/>
        <v>5.0345287712472402</v>
      </c>
      <c r="D1206" s="29">
        <f t="shared" si="40"/>
        <v>-1.8942768673951837E-2</v>
      </c>
    </row>
    <row r="1207" spans="1:4" x14ac:dyDescent="0.3">
      <c r="A1207" s="26">
        <v>43903</v>
      </c>
      <c r="B1207" s="27">
        <v>169.35093688964841</v>
      </c>
      <c r="C1207" s="27">
        <f t="shared" si="39"/>
        <v>5.1319731115168477</v>
      </c>
      <c r="D1207" s="29">
        <f t="shared" si="40"/>
        <v>1.9355205759498784E-2</v>
      </c>
    </row>
    <row r="1208" spans="1:4" x14ac:dyDescent="0.3">
      <c r="A1208" s="26">
        <v>43906</v>
      </c>
      <c r="B1208" s="27">
        <v>145.2133483886719</v>
      </c>
      <c r="C1208" s="27">
        <f t="shared" si="39"/>
        <v>4.9782040292167551</v>
      </c>
      <c r="D1208" s="29">
        <f t="shared" si="40"/>
        <v>-2.9962955564793115E-2</v>
      </c>
    </row>
    <row r="1209" spans="1:4" x14ac:dyDescent="0.3">
      <c r="A1209" s="26">
        <v>43907</v>
      </c>
      <c r="B1209" s="27">
        <v>148.60475158691409</v>
      </c>
      <c r="C1209" s="27">
        <f t="shared" si="39"/>
        <v>5.0012901074582761</v>
      </c>
      <c r="D1209" s="29">
        <f t="shared" si="40"/>
        <v>4.637431110904755E-3</v>
      </c>
    </row>
    <row r="1210" spans="1:4" x14ac:dyDescent="0.3">
      <c r="A1210" s="26">
        <v>43908</v>
      </c>
      <c r="B1210" s="27">
        <v>146.1581726074219</v>
      </c>
      <c r="C1210" s="27">
        <f t="shared" si="39"/>
        <v>4.9846894093056449</v>
      </c>
      <c r="D1210" s="29">
        <f t="shared" si="40"/>
        <v>-3.3192831841278858E-3</v>
      </c>
    </row>
    <row r="1211" spans="1:4" x14ac:dyDescent="0.3">
      <c r="A1211" s="26">
        <v>43909</v>
      </c>
      <c r="B1211" s="27">
        <v>152.29449462890619</v>
      </c>
      <c r="C1211" s="27">
        <f t="shared" si="39"/>
        <v>5.0258161110462192</v>
      </c>
      <c r="D1211" s="29">
        <f t="shared" si="40"/>
        <v>8.250604674344908E-3</v>
      </c>
    </row>
    <row r="1212" spans="1:4" x14ac:dyDescent="0.3">
      <c r="A1212" s="26">
        <v>43910</v>
      </c>
      <c r="B1212" s="27">
        <v>148.91304016113281</v>
      </c>
      <c r="C1212" s="27">
        <f t="shared" si="39"/>
        <v>5.003362512491571</v>
      </c>
      <c r="D1212" s="29">
        <f t="shared" si="40"/>
        <v>-4.4676522297140142E-3</v>
      </c>
    </row>
    <row r="1213" spans="1:4" x14ac:dyDescent="0.3">
      <c r="A1213" s="26">
        <v>43913</v>
      </c>
      <c r="B1213" s="27">
        <v>147.29194641113281</v>
      </c>
      <c r="C1213" s="27">
        <f t="shared" si="39"/>
        <v>4.9924166472361398</v>
      </c>
      <c r="D1213" s="29">
        <f t="shared" si="40"/>
        <v>-2.1877018161493567E-3</v>
      </c>
    </row>
    <row r="1214" spans="1:4" x14ac:dyDescent="0.3">
      <c r="A1214" s="26">
        <v>43914</v>
      </c>
      <c r="B1214" s="27">
        <v>160.1016540527344</v>
      </c>
      <c r="C1214" s="27">
        <f t="shared" si="39"/>
        <v>5.0758089513217826</v>
      </c>
      <c r="D1214" s="29">
        <f t="shared" si="40"/>
        <v>1.6703794971080654E-2</v>
      </c>
    </row>
    <row r="1215" spans="1:4" x14ac:dyDescent="0.3">
      <c r="A1215" s="26">
        <v>43915</v>
      </c>
      <c r="B1215" s="27">
        <v>155.35771179199219</v>
      </c>
      <c r="C1215" s="27">
        <f t="shared" si="39"/>
        <v>5.045730276010195</v>
      </c>
      <c r="D1215" s="29">
        <f t="shared" si="40"/>
        <v>-5.9258879914608764E-3</v>
      </c>
    </row>
    <row r="1216" spans="1:4" x14ac:dyDescent="0.3">
      <c r="A1216" s="26">
        <v>43916</v>
      </c>
      <c r="B1216" s="27">
        <v>162.44880676269531</v>
      </c>
      <c r="C1216" s="27">
        <f t="shared" si="39"/>
        <v>5.090362916829255</v>
      </c>
      <c r="D1216" s="29">
        <f t="shared" si="40"/>
        <v>8.8456255839248765E-3</v>
      </c>
    </row>
    <row r="1217" spans="1:4" x14ac:dyDescent="0.3">
      <c r="A1217" s="26">
        <v>43917</v>
      </c>
      <c r="B1217" s="27">
        <v>155.93452453613281</v>
      </c>
      <c r="C1217" s="27">
        <f t="shared" si="39"/>
        <v>5.0494362046327783</v>
      </c>
      <c r="D1217" s="29">
        <f t="shared" si="40"/>
        <v>-8.0400381790399766E-3</v>
      </c>
    </row>
    <row r="1218" spans="1:4" x14ac:dyDescent="0.3">
      <c r="A1218" s="26">
        <v>43920</v>
      </c>
      <c r="B1218" s="27">
        <v>165.04454040527341</v>
      </c>
      <c r="C1218" s="27">
        <f t="shared" si="39"/>
        <v>5.1062153793229763</v>
      </c>
      <c r="D1218" s="29">
        <f t="shared" si="40"/>
        <v>1.1244656311947043E-2</v>
      </c>
    </row>
    <row r="1219" spans="1:4" x14ac:dyDescent="0.3">
      <c r="A1219" s="26">
        <v>43921</v>
      </c>
      <c r="B1219" s="27">
        <v>165.88990783691409</v>
      </c>
      <c r="C1219" s="27">
        <f t="shared" ref="C1219:C1282" si="41">LN(B1219)</f>
        <v>5.1113243625365694</v>
      </c>
      <c r="D1219" s="29">
        <f t="shared" si="40"/>
        <v>1.0005420520022845E-3</v>
      </c>
    </row>
    <row r="1220" spans="1:4" x14ac:dyDescent="0.3">
      <c r="A1220" s="26">
        <v>43922</v>
      </c>
      <c r="B1220" s="27">
        <v>158.7292175292969</v>
      </c>
      <c r="C1220" s="27">
        <f t="shared" si="41"/>
        <v>5.0671997160016407</v>
      </c>
      <c r="D1220" s="29">
        <f t="shared" ref="D1220:D1283" si="42">C1220/C1219-1</f>
        <v>-8.632722833702422E-3</v>
      </c>
    </row>
    <row r="1221" spans="1:4" x14ac:dyDescent="0.3">
      <c r="A1221" s="26">
        <v>43923</v>
      </c>
      <c r="B1221" s="27">
        <v>157.32688903808591</v>
      </c>
      <c r="C1221" s="27">
        <f t="shared" si="41"/>
        <v>5.0583257365748908</v>
      </c>
      <c r="D1221" s="29">
        <f t="shared" si="42"/>
        <v>-1.7512590630139879E-3</v>
      </c>
    </row>
    <row r="1222" spans="1:4" x14ac:dyDescent="0.3">
      <c r="A1222" s="26">
        <v>43924</v>
      </c>
      <c r="B1222" s="27">
        <v>153.3387451171875</v>
      </c>
      <c r="C1222" s="27">
        <f t="shared" si="41"/>
        <v>5.0326494944347306</v>
      </c>
      <c r="D1222" s="29">
        <f t="shared" si="42"/>
        <v>-5.0760357235408726E-3</v>
      </c>
    </row>
    <row r="1223" spans="1:4" x14ac:dyDescent="0.3">
      <c r="A1223" s="26">
        <v>43927</v>
      </c>
      <c r="B1223" s="27">
        <v>164.646728515625</v>
      </c>
      <c r="C1223" s="27">
        <f t="shared" si="41"/>
        <v>5.1038021392998925</v>
      </c>
      <c r="D1223" s="29">
        <f t="shared" si="42"/>
        <v>1.4138207904970335E-2</v>
      </c>
    </row>
    <row r="1224" spans="1:4" x14ac:dyDescent="0.3">
      <c r="A1224" s="26">
        <v>43928</v>
      </c>
      <c r="B1224" s="27">
        <v>167.9088439941406</v>
      </c>
      <c r="C1224" s="27">
        <f t="shared" si="41"/>
        <v>5.1234212368722014</v>
      </c>
      <c r="D1224" s="29">
        <f t="shared" si="42"/>
        <v>3.8440160956161318E-3</v>
      </c>
    </row>
    <row r="1225" spans="1:4" x14ac:dyDescent="0.3">
      <c r="A1225" s="26">
        <v>43929</v>
      </c>
      <c r="B1225" s="27">
        <v>173.32911682128909</v>
      </c>
      <c r="C1225" s="27">
        <f t="shared" si="41"/>
        <v>5.1551921965804564</v>
      </c>
      <c r="D1225" s="29">
        <f t="shared" si="42"/>
        <v>6.2011219143189855E-3</v>
      </c>
    </row>
    <row r="1226" spans="1:4" x14ac:dyDescent="0.3">
      <c r="A1226" s="26">
        <v>43930</v>
      </c>
      <c r="B1226" s="27">
        <v>174.23414611816409</v>
      </c>
      <c r="C1226" s="27">
        <f t="shared" si="41"/>
        <v>5.1604000619614325</v>
      </c>
      <c r="D1226" s="29">
        <f t="shared" si="42"/>
        <v>1.0102175015764825E-3</v>
      </c>
    </row>
    <row r="1227" spans="1:4" x14ac:dyDescent="0.3">
      <c r="A1227" s="26">
        <v>43934</v>
      </c>
      <c r="B1227" s="27">
        <v>173.83631896972659</v>
      </c>
      <c r="C1227" s="27">
        <f t="shared" si="41"/>
        <v>5.1581141609064893</v>
      </c>
      <c r="D1227" s="29">
        <f t="shared" si="42"/>
        <v>-4.4296973635693515E-4</v>
      </c>
    </row>
    <row r="1228" spans="1:4" x14ac:dyDescent="0.3">
      <c r="A1228" s="26">
        <v>43935</v>
      </c>
      <c r="B1228" s="27">
        <v>177.19789123535159</v>
      </c>
      <c r="C1228" s="27">
        <f t="shared" si="41"/>
        <v>5.1772671376224695</v>
      </c>
      <c r="D1228" s="29">
        <f t="shared" si="42"/>
        <v>3.7131742568128345E-3</v>
      </c>
    </row>
    <row r="1229" spans="1:4" x14ac:dyDescent="0.3">
      <c r="A1229" s="26">
        <v>43936</v>
      </c>
      <c r="B1229" s="27">
        <v>176.0044250488281</v>
      </c>
      <c r="C1229" s="27">
        <f t="shared" si="41"/>
        <v>5.1705091370449754</v>
      </c>
      <c r="D1229" s="29">
        <f t="shared" si="42"/>
        <v>-1.3053219773777602E-3</v>
      </c>
    </row>
    <row r="1230" spans="1:4" x14ac:dyDescent="0.3">
      <c r="A1230" s="26">
        <v>43937</v>
      </c>
      <c r="B1230" s="27">
        <v>175.28834533691409</v>
      </c>
      <c r="C1230" s="27">
        <f t="shared" si="41"/>
        <v>5.1664323056149923</v>
      </c>
      <c r="D1230" s="29">
        <f t="shared" si="42"/>
        <v>-7.8847775372326012E-4</v>
      </c>
    </row>
    <row r="1231" spans="1:4" x14ac:dyDescent="0.3">
      <c r="A1231" s="26">
        <v>43938</v>
      </c>
      <c r="B1231" s="27">
        <v>178.2620544433594</v>
      </c>
      <c r="C1231" s="27">
        <f t="shared" si="41"/>
        <v>5.1832546836185411</v>
      </c>
      <c r="D1231" s="29">
        <f t="shared" si="42"/>
        <v>3.2560918267070527E-3</v>
      </c>
    </row>
    <row r="1232" spans="1:4" x14ac:dyDescent="0.3">
      <c r="A1232" s="26">
        <v>43941</v>
      </c>
      <c r="B1232" s="27">
        <v>177.26750183105469</v>
      </c>
      <c r="C1232" s="27">
        <f t="shared" si="41"/>
        <v>5.1776599014745104</v>
      </c>
      <c r="D1232" s="29">
        <f t="shared" si="42"/>
        <v>-1.0793955700677538E-3</v>
      </c>
    </row>
    <row r="1233" spans="1:4" x14ac:dyDescent="0.3">
      <c r="A1233" s="26">
        <v>43942</v>
      </c>
      <c r="B1233" s="27">
        <v>169.86810302734381</v>
      </c>
      <c r="C1233" s="27">
        <f t="shared" si="41"/>
        <v>5.135022271366557</v>
      </c>
      <c r="D1233" s="29">
        <f t="shared" si="42"/>
        <v>-8.2349229032618876E-3</v>
      </c>
    </row>
    <row r="1234" spans="1:4" x14ac:dyDescent="0.3">
      <c r="A1234" s="26">
        <v>43943</v>
      </c>
      <c r="B1234" s="27">
        <v>181.28547668457031</v>
      </c>
      <c r="C1234" s="27">
        <f t="shared" si="41"/>
        <v>5.2000730080136073</v>
      </c>
      <c r="D1234" s="29">
        <f t="shared" si="42"/>
        <v>1.2668053459043538E-2</v>
      </c>
    </row>
    <row r="1235" spans="1:4" x14ac:dyDescent="0.3">
      <c r="A1235" s="26">
        <v>43944</v>
      </c>
      <c r="B1235" s="27">
        <v>184.11993408203119</v>
      </c>
      <c r="C1235" s="27">
        <f t="shared" si="41"/>
        <v>5.2155873609326351</v>
      </c>
      <c r="D1235" s="29">
        <f t="shared" si="42"/>
        <v>2.9834875193328614E-3</v>
      </c>
    </row>
    <row r="1236" spans="1:4" x14ac:dyDescent="0.3">
      <c r="A1236" s="26">
        <v>43945</v>
      </c>
      <c r="B1236" s="27">
        <v>189.032958984375</v>
      </c>
      <c r="C1236" s="27">
        <f t="shared" si="41"/>
        <v>5.2419213860168572</v>
      </c>
      <c r="D1236" s="29">
        <f t="shared" si="42"/>
        <v>5.0491005637212094E-3</v>
      </c>
    </row>
    <row r="1237" spans="1:4" x14ac:dyDescent="0.3">
      <c r="A1237" s="26">
        <v>43948</v>
      </c>
      <c r="B1237" s="27">
        <v>186.47697448730469</v>
      </c>
      <c r="C1237" s="27">
        <f t="shared" si="41"/>
        <v>5.2283077702678327</v>
      </c>
      <c r="D1237" s="29">
        <f t="shared" si="42"/>
        <v>-2.5970659890740544E-3</v>
      </c>
    </row>
    <row r="1238" spans="1:4" x14ac:dyDescent="0.3">
      <c r="A1238" s="26">
        <v>43949</v>
      </c>
      <c r="B1238" s="27">
        <v>181.9120178222656</v>
      </c>
      <c r="C1238" s="27">
        <f t="shared" si="41"/>
        <v>5.2035231516333926</v>
      </c>
      <c r="D1238" s="29">
        <f t="shared" si="42"/>
        <v>-4.7404666525915351E-3</v>
      </c>
    </row>
    <row r="1239" spans="1:4" x14ac:dyDescent="0.3">
      <c r="A1239" s="26">
        <v>43950</v>
      </c>
      <c r="B1239" s="27">
        <v>193.1304626464844</v>
      </c>
      <c r="C1239" s="27">
        <f t="shared" si="41"/>
        <v>5.263365932800121</v>
      </c>
      <c r="D1239" s="29">
        <f t="shared" si="42"/>
        <v>1.1500435267198572E-2</v>
      </c>
    </row>
    <row r="1240" spans="1:4" x14ac:dyDescent="0.3">
      <c r="A1240" s="26">
        <v>43951</v>
      </c>
      <c r="B1240" s="27">
        <v>203.59307861328119</v>
      </c>
      <c r="C1240" s="27">
        <f t="shared" si="41"/>
        <v>5.3161232890753469</v>
      </c>
      <c r="D1240" s="29">
        <f t="shared" si="42"/>
        <v>1.0023501491023712E-2</v>
      </c>
    </row>
    <row r="1241" spans="1:4" x14ac:dyDescent="0.3">
      <c r="A1241" s="26">
        <v>43952</v>
      </c>
      <c r="B1241" s="27">
        <v>201.1663818359375</v>
      </c>
      <c r="C1241" s="27">
        <f t="shared" si="41"/>
        <v>5.3041323359742112</v>
      </c>
      <c r="D1241" s="29">
        <f t="shared" si="42"/>
        <v>-2.2555822070148279E-3</v>
      </c>
    </row>
    <row r="1242" spans="1:4" x14ac:dyDescent="0.3">
      <c r="A1242" s="26">
        <v>43955</v>
      </c>
      <c r="B1242" s="27">
        <v>204.14007568359381</v>
      </c>
      <c r="C1242" s="27">
        <f t="shared" si="41"/>
        <v>5.3188064037188605</v>
      </c>
      <c r="D1242" s="29">
        <f t="shared" si="42"/>
        <v>2.766534998594361E-3</v>
      </c>
    </row>
    <row r="1243" spans="1:4" x14ac:dyDescent="0.3">
      <c r="A1243" s="26">
        <v>43956</v>
      </c>
      <c r="B1243" s="27">
        <v>205.9402160644531</v>
      </c>
      <c r="C1243" s="27">
        <f t="shared" si="41"/>
        <v>5.3275859133902044</v>
      </c>
      <c r="D1243" s="29">
        <f t="shared" si="42"/>
        <v>1.6506541139014175E-3</v>
      </c>
    </row>
    <row r="1244" spans="1:4" x14ac:dyDescent="0.3">
      <c r="A1244" s="26">
        <v>43957</v>
      </c>
      <c r="B1244" s="27">
        <v>207.33256530761719</v>
      </c>
      <c r="C1244" s="27">
        <f t="shared" si="41"/>
        <v>5.3343240997601118</v>
      </c>
      <c r="D1244" s="29">
        <f t="shared" si="42"/>
        <v>1.264772915810175E-3</v>
      </c>
    </row>
    <row r="1245" spans="1:4" x14ac:dyDescent="0.3">
      <c r="A1245" s="26">
        <v>43958</v>
      </c>
      <c r="B1245" s="27">
        <v>210.10734558105469</v>
      </c>
      <c r="C1245" s="27">
        <f t="shared" si="41"/>
        <v>5.3476185695484721</v>
      </c>
      <c r="D1245" s="29">
        <f t="shared" si="42"/>
        <v>2.4922501032433875E-3</v>
      </c>
    </row>
    <row r="1246" spans="1:4" x14ac:dyDescent="0.3">
      <c r="A1246" s="26">
        <v>43959</v>
      </c>
      <c r="B1246" s="27">
        <v>211.1913757324219</v>
      </c>
      <c r="C1246" s="27">
        <f t="shared" si="41"/>
        <v>5.3527647163980765</v>
      </c>
      <c r="D1246" s="29">
        <f t="shared" si="42"/>
        <v>9.6232496440729065E-4</v>
      </c>
    </row>
    <row r="1247" spans="1:4" x14ac:dyDescent="0.3">
      <c r="A1247" s="26">
        <v>43962</v>
      </c>
      <c r="B1247" s="27">
        <v>212.016845703125</v>
      </c>
      <c r="C1247" s="27">
        <f t="shared" si="41"/>
        <v>5.3566657323789624</v>
      </c>
      <c r="D1247" s="29">
        <f t="shared" si="42"/>
        <v>7.2878525165420704E-4</v>
      </c>
    </row>
    <row r="1248" spans="1:4" x14ac:dyDescent="0.3">
      <c r="A1248" s="26">
        <v>43963</v>
      </c>
      <c r="B1248" s="27">
        <v>208.95367431640619</v>
      </c>
      <c r="C1248" s="27">
        <f t="shared" si="41"/>
        <v>5.3421125734074479</v>
      </c>
      <c r="D1248" s="29">
        <f t="shared" si="42"/>
        <v>-2.7168316446453122E-3</v>
      </c>
    </row>
    <row r="1249" spans="1:4" x14ac:dyDescent="0.3">
      <c r="A1249" s="26">
        <v>43964</v>
      </c>
      <c r="B1249" s="27">
        <v>203.98095703125</v>
      </c>
      <c r="C1249" s="27">
        <f t="shared" si="41"/>
        <v>5.3180266416010022</v>
      </c>
      <c r="D1249" s="29">
        <f t="shared" si="42"/>
        <v>-4.5086904245229542E-3</v>
      </c>
    </row>
    <row r="1250" spans="1:4" x14ac:dyDescent="0.3">
      <c r="A1250" s="26">
        <v>43965</v>
      </c>
      <c r="B1250" s="27">
        <v>205.68162536621091</v>
      </c>
      <c r="C1250" s="27">
        <f t="shared" si="41"/>
        <v>5.3263294653292252</v>
      </c>
      <c r="D1250" s="29">
        <f t="shared" si="42"/>
        <v>1.5612602733638958E-3</v>
      </c>
    </row>
    <row r="1251" spans="1:4" x14ac:dyDescent="0.3">
      <c r="A1251" s="26">
        <v>43966</v>
      </c>
      <c r="B1251" s="27">
        <v>209.72941589355469</v>
      </c>
      <c r="C1251" s="27">
        <f t="shared" si="41"/>
        <v>5.3458182041480962</v>
      </c>
      <c r="D1251" s="29">
        <f t="shared" si="42"/>
        <v>3.6589435455935959E-3</v>
      </c>
    </row>
    <row r="1252" spans="1:4" x14ac:dyDescent="0.3">
      <c r="A1252" s="26">
        <v>43969</v>
      </c>
      <c r="B1252" s="27">
        <v>212.02680969238281</v>
      </c>
      <c r="C1252" s="27">
        <f t="shared" si="41"/>
        <v>5.3567127274896444</v>
      </c>
      <c r="D1252" s="29">
        <f t="shared" si="42"/>
        <v>2.0379524565752316E-3</v>
      </c>
    </row>
    <row r="1253" spans="1:4" x14ac:dyDescent="0.3">
      <c r="A1253" s="26">
        <v>43970</v>
      </c>
      <c r="B1253" s="27">
        <v>215.6966857910156</v>
      </c>
      <c r="C1253" s="27">
        <f t="shared" si="41"/>
        <v>5.3738731883768169</v>
      </c>
      <c r="D1253" s="29">
        <f t="shared" si="42"/>
        <v>3.2035432475421288E-3</v>
      </c>
    </row>
    <row r="1254" spans="1:4" x14ac:dyDescent="0.3">
      <c r="A1254" s="26">
        <v>43971</v>
      </c>
      <c r="B1254" s="27">
        <v>228.71527099609381</v>
      </c>
      <c r="C1254" s="27">
        <f t="shared" si="41"/>
        <v>5.4324778718475857</v>
      </c>
      <c r="D1254" s="29">
        <f t="shared" si="42"/>
        <v>1.0905483143428985E-2</v>
      </c>
    </row>
    <row r="1255" spans="1:4" x14ac:dyDescent="0.3">
      <c r="A1255" s="26">
        <v>43972</v>
      </c>
      <c r="B1255" s="27">
        <v>230.12750244140619</v>
      </c>
      <c r="C1255" s="27">
        <f t="shared" si="41"/>
        <v>5.4386335137642154</v>
      </c>
      <c r="D1255" s="29">
        <f t="shared" si="42"/>
        <v>1.1331186360703516E-3</v>
      </c>
    </row>
    <row r="1256" spans="1:4" x14ac:dyDescent="0.3">
      <c r="A1256" s="26">
        <v>43973</v>
      </c>
      <c r="B1256" s="27">
        <v>233.62831115722659</v>
      </c>
      <c r="C1256" s="27">
        <f t="shared" si="41"/>
        <v>5.4537314386329223</v>
      </c>
      <c r="D1256" s="29">
        <f t="shared" si="42"/>
        <v>2.7760511588981185E-3</v>
      </c>
    </row>
    <row r="1257" spans="1:4" x14ac:dyDescent="0.3">
      <c r="A1257" s="26">
        <v>43977</v>
      </c>
      <c r="B1257" s="27">
        <v>230.9330749511719</v>
      </c>
      <c r="C1257" s="27">
        <f t="shared" si="41"/>
        <v>5.4421279497190911</v>
      </c>
      <c r="D1257" s="29">
        <f t="shared" si="42"/>
        <v>-2.1276238194706254E-3</v>
      </c>
    </row>
    <row r="1258" spans="1:4" x14ac:dyDescent="0.3">
      <c r="A1258" s="26">
        <v>43978</v>
      </c>
      <c r="B1258" s="27">
        <v>227.88978576660159</v>
      </c>
      <c r="C1258" s="27">
        <f t="shared" si="41"/>
        <v>5.4288621163205253</v>
      </c>
      <c r="D1258" s="29">
        <f t="shared" si="42"/>
        <v>-2.4376187993246923E-3</v>
      </c>
    </row>
    <row r="1259" spans="1:4" x14ac:dyDescent="0.3">
      <c r="A1259" s="26">
        <v>43979</v>
      </c>
      <c r="B1259" s="27">
        <v>224.22987365722659</v>
      </c>
      <c r="C1259" s="27">
        <f t="shared" si="41"/>
        <v>5.4126717473335866</v>
      </c>
      <c r="D1259" s="29">
        <f t="shared" si="42"/>
        <v>-2.982276698143882E-3</v>
      </c>
    </row>
    <row r="1260" spans="1:4" x14ac:dyDescent="0.3">
      <c r="A1260" s="26">
        <v>43980</v>
      </c>
      <c r="B1260" s="27">
        <v>223.86186218261719</v>
      </c>
      <c r="C1260" s="27">
        <f t="shared" si="41"/>
        <v>5.4110291749408495</v>
      </c>
      <c r="D1260" s="29">
        <f t="shared" si="42"/>
        <v>-3.0346794880853345E-4</v>
      </c>
    </row>
    <row r="1261" spans="1:4" x14ac:dyDescent="0.3">
      <c r="A1261" s="26">
        <v>43983</v>
      </c>
      <c r="B1261" s="27">
        <v>230.64466857910159</v>
      </c>
      <c r="C1261" s="27">
        <f t="shared" si="41"/>
        <v>5.4408782949701564</v>
      </c>
      <c r="D1261" s="29">
        <f t="shared" si="42"/>
        <v>5.5163480114914787E-3</v>
      </c>
    </row>
    <row r="1262" spans="1:4" x14ac:dyDescent="0.3">
      <c r="A1262" s="26">
        <v>43984</v>
      </c>
      <c r="B1262" s="27">
        <v>231.45025634765619</v>
      </c>
      <c r="C1262" s="27">
        <f t="shared" si="41"/>
        <v>5.4443649750491705</v>
      </c>
      <c r="D1262" s="29">
        <f t="shared" si="42"/>
        <v>6.4083037516882158E-4</v>
      </c>
    </row>
    <row r="1263" spans="1:4" x14ac:dyDescent="0.3">
      <c r="A1263" s="26">
        <v>43985</v>
      </c>
      <c r="B1263" s="27">
        <v>228.90422058105469</v>
      </c>
      <c r="C1263" s="27">
        <f t="shared" si="41"/>
        <v>5.4333036653252513</v>
      </c>
      <c r="D1263" s="29">
        <f t="shared" si="42"/>
        <v>-2.0316987884926307E-3</v>
      </c>
    </row>
    <row r="1264" spans="1:4" x14ac:dyDescent="0.3">
      <c r="A1264" s="26">
        <v>43986</v>
      </c>
      <c r="B1264" s="27">
        <v>225.0553283691406</v>
      </c>
      <c r="C1264" s="27">
        <f t="shared" si="41"/>
        <v>5.416346275837868</v>
      </c>
      <c r="D1264" s="29">
        <f t="shared" si="42"/>
        <v>-3.1210089720556944E-3</v>
      </c>
    </row>
    <row r="1265" spans="1:4" x14ac:dyDescent="0.3">
      <c r="A1265" s="26">
        <v>43987</v>
      </c>
      <c r="B1265" s="27">
        <v>229.51087951660159</v>
      </c>
      <c r="C1265" s="27">
        <f t="shared" si="41"/>
        <v>5.4359504336781006</v>
      </c>
      <c r="D1265" s="29">
        <f t="shared" si="42"/>
        <v>3.619443226458019E-3</v>
      </c>
    </row>
    <row r="1266" spans="1:4" x14ac:dyDescent="0.3">
      <c r="A1266" s="26">
        <v>43990</v>
      </c>
      <c r="B1266" s="27">
        <v>230.137451171875</v>
      </c>
      <c r="C1266" s="27">
        <f t="shared" si="41"/>
        <v>5.4386767442139474</v>
      </c>
      <c r="D1266" s="29">
        <f t="shared" si="42"/>
        <v>5.0153336920732983E-4</v>
      </c>
    </row>
    <row r="1267" spans="1:4" x14ac:dyDescent="0.3">
      <c r="A1267" s="26">
        <v>43991</v>
      </c>
      <c r="B1267" s="27">
        <v>237.3677673339844</v>
      </c>
      <c r="C1267" s="27">
        <f t="shared" si="41"/>
        <v>5.469610699301148</v>
      </c>
      <c r="D1267" s="29">
        <f t="shared" si="42"/>
        <v>5.6877723280961412E-3</v>
      </c>
    </row>
    <row r="1268" spans="1:4" x14ac:dyDescent="0.3">
      <c r="A1268" s="26">
        <v>43992</v>
      </c>
      <c r="B1268" s="27">
        <v>235.43836975097659</v>
      </c>
      <c r="C1268" s="27">
        <f t="shared" si="41"/>
        <v>5.4614491796359399</v>
      </c>
      <c r="D1268" s="29">
        <f t="shared" si="42"/>
        <v>-1.4921573241494235E-3</v>
      </c>
    </row>
    <row r="1269" spans="1:4" x14ac:dyDescent="0.3">
      <c r="A1269" s="26">
        <v>43993</v>
      </c>
      <c r="B1269" s="27">
        <v>223.20545959472659</v>
      </c>
      <c r="C1269" s="27">
        <f t="shared" si="41"/>
        <v>5.4080926907578517</v>
      </c>
      <c r="D1269" s="29">
        <f t="shared" si="42"/>
        <v>-9.7696576720036621E-3</v>
      </c>
    </row>
    <row r="1270" spans="1:4" x14ac:dyDescent="0.3">
      <c r="A1270" s="26">
        <v>43994</v>
      </c>
      <c r="B1270" s="27">
        <v>227.3328552246094</v>
      </c>
      <c r="C1270" s="27">
        <f t="shared" si="41"/>
        <v>5.4264152660555869</v>
      </c>
      <c r="D1270" s="29">
        <f t="shared" si="42"/>
        <v>3.387992097296566E-3</v>
      </c>
    </row>
    <row r="1271" spans="1:4" x14ac:dyDescent="0.3">
      <c r="A1271" s="26">
        <v>43997</v>
      </c>
      <c r="B1271" s="27">
        <v>231.2314453125</v>
      </c>
      <c r="C1271" s="27">
        <f t="shared" si="41"/>
        <v>5.4434191366869289</v>
      </c>
      <c r="D1271" s="29">
        <f t="shared" si="42"/>
        <v>3.1335365609979071E-3</v>
      </c>
    </row>
    <row r="1272" spans="1:4" x14ac:dyDescent="0.3">
      <c r="A1272" s="26">
        <v>43998</v>
      </c>
      <c r="B1272" s="27">
        <v>234.36424255371091</v>
      </c>
      <c r="C1272" s="27">
        <f t="shared" si="41"/>
        <v>5.45687649723381</v>
      </c>
      <c r="D1272" s="29">
        <f t="shared" si="42"/>
        <v>2.4722256745182136E-3</v>
      </c>
    </row>
    <row r="1273" spans="1:4" x14ac:dyDescent="0.3">
      <c r="A1273" s="26">
        <v>43999</v>
      </c>
      <c r="B1273" s="27">
        <v>234.24491882324219</v>
      </c>
      <c r="C1273" s="27">
        <f t="shared" si="41"/>
        <v>5.4563672296271033</v>
      </c>
      <c r="D1273" s="29">
        <f t="shared" si="42"/>
        <v>-9.3325844366276556E-5</v>
      </c>
    </row>
    <row r="1274" spans="1:4" x14ac:dyDescent="0.3">
      <c r="A1274" s="26">
        <v>44000</v>
      </c>
      <c r="B1274" s="27">
        <v>234.6526794433594</v>
      </c>
      <c r="C1274" s="27">
        <f t="shared" si="41"/>
        <v>5.4581064610687298</v>
      </c>
      <c r="D1274" s="29">
        <f t="shared" si="42"/>
        <v>3.1875263676961474E-4</v>
      </c>
    </row>
    <row r="1275" spans="1:4" x14ac:dyDescent="0.3">
      <c r="A1275" s="26">
        <v>44001</v>
      </c>
      <c r="B1275" s="27">
        <v>237.48712158203119</v>
      </c>
      <c r="C1275" s="27">
        <f t="shared" si="41"/>
        <v>5.4701133970867089</v>
      </c>
      <c r="D1275" s="29">
        <f t="shared" si="42"/>
        <v>2.199835438099651E-3</v>
      </c>
    </row>
    <row r="1276" spans="1:4" x14ac:dyDescent="0.3">
      <c r="A1276" s="26">
        <v>44004</v>
      </c>
      <c r="B1276" s="27">
        <v>237.9147644042969</v>
      </c>
      <c r="C1276" s="27">
        <f t="shared" si="41"/>
        <v>5.4719124767715694</v>
      </c>
      <c r="D1276" s="29">
        <f t="shared" si="42"/>
        <v>3.2889257575874353E-4</v>
      </c>
    </row>
    <row r="1277" spans="1:4" x14ac:dyDescent="0.3">
      <c r="A1277" s="26">
        <v>44005</v>
      </c>
      <c r="B1277" s="27">
        <v>240.9183044433594</v>
      </c>
      <c r="C1277" s="27">
        <f t="shared" si="41"/>
        <v>5.4844578903098089</v>
      </c>
      <c r="D1277" s="29">
        <f t="shared" si="42"/>
        <v>2.2926926538928694E-3</v>
      </c>
    </row>
    <row r="1278" spans="1:4" x14ac:dyDescent="0.3">
      <c r="A1278" s="26">
        <v>44006</v>
      </c>
      <c r="B1278" s="27">
        <v>232.74314880371091</v>
      </c>
      <c r="C1278" s="27">
        <f t="shared" si="41"/>
        <v>5.4499354798644744</v>
      </c>
      <c r="D1278" s="29">
        <f t="shared" si="42"/>
        <v>-6.294589389833849E-3</v>
      </c>
    </row>
    <row r="1279" spans="1:4" x14ac:dyDescent="0.3">
      <c r="A1279" s="26">
        <v>44007</v>
      </c>
      <c r="B1279" s="27">
        <v>234.3940734863281</v>
      </c>
      <c r="C1279" s="27">
        <f t="shared" si="41"/>
        <v>5.4570037736218193</v>
      </c>
      <c r="D1279" s="29">
        <f t="shared" si="42"/>
        <v>1.2969499883914715E-3</v>
      </c>
    </row>
    <row r="1280" spans="1:4" x14ac:dyDescent="0.3">
      <c r="A1280" s="26">
        <v>44008</v>
      </c>
      <c r="B1280" s="27">
        <v>214.9010314941406</v>
      </c>
      <c r="C1280" s="27">
        <f t="shared" si="41"/>
        <v>5.3701776035166136</v>
      </c>
      <c r="D1280" s="29">
        <f t="shared" si="42"/>
        <v>-1.5910960246153349E-2</v>
      </c>
    </row>
    <row r="1281" spans="1:4" x14ac:dyDescent="0.3">
      <c r="A1281" s="26">
        <v>44011</v>
      </c>
      <c r="B1281" s="27">
        <v>219.43617248535159</v>
      </c>
      <c r="C1281" s="27">
        <f t="shared" si="41"/>
        <v>5.3910614042850673</v>
      </c>
      <c r="D1281" s="29">
        <f t="shared" si="42"/>
        <v>3.8888473175966443E-3</v>
      </c>
    </row>
    <row r="1282" spans="1:4" x14ac:dyDescent="0.3">
      <c r="A1282" s="26">
        <v>44012</v>
      </c>
      <c r="B1282" s="27">
        <v>225.8310852050781</v>
      </c>
      <c r="C1282" s="27">
        <f t="shared" si="41"/>
        <v>5.4197873092247342</v>
      </c>
      <c r="D1282" s="29">
        <f t="shared" si="42"/>
        <v>5.3284321556483771E-3</v>
      </c>
    </row>
    <row r="1283" spans="1:4" x14ac:dyDescent="0.3">
      <c r="A1283" s="26">
        <v>44013</v>
      </c>
      <c r="B1283" s="27">
        <v>236.25389099121091</v>
      </c>
      <c r="C1283" s="27">
        <f t="shared" ref="C1283:C1346" si="43">LN(B1283)</f>
        <v>5.4649070360422938</v>
      </c>
      <c r="D1283" s="29">
        <f t="shared" si="42"/>
        <v>8.3249995328715798E-3</v>
      </c>
    </row>
    <row r="1284" spans="1:4" x14ac:dyDescent="0.3">
      <c r="A1284" s="26">
        <v>44014</v>
      </c>
      <c r="B1284" s="27">
        <v>232.14643859863281</v>
      </c>
      <c r="C1284" s="27">
        <f t="shared" si="43"/>
        <v>5.4473683733990121</v>
      </c>
      <c r="D1284" s="29">
        <f t="shared" ref="D1284:D1347" si="44">C1284/C1283-1</f>
        <v>-3.2093249761816489E-3</v>
      </c>
    </row>
    <row r="1285" spans="1:4" x14ac:dyDescent="0.3">
      <c r="A1285" s="26">
        <v>44018</v>
      </c>
      <c r="B1285" s="27">
        <v>238.96900939941409</v>
      </c>
      <c r="C1285" s="27">
        <f t="shared" si="43"/>
        <v>5.4763338757390381</v>
      </c>
      <c r="D1285" s="29">
        <f t="shared" si="44"/>
        <v>5.3173386403373435E-3</v>
      </c>
    </row>
    <row r="1286" spans="1:4" x14ac:dyDescent="0.3">
      <c r="A1286" s="26">
        <v>44019</v>
      </c>
      <c r="B1286" s="27">
        <v>239.54585266113281</v>
      </c>
      <c r="C1286" s="27">
        <f t="shared" si="43"/>
        <v>5.4787448501386944</v>
      </c>
      <c r="D1286" s="29">
        <f t="shared" si="44"/>
        <v>4.4025336189545961E-4</v>
      </c>
    </row>
    <row r="1287" spans="1:4" x14ac:dyDescent="0.3">
      <c r="A1287" s="26">
        <v>44020</v>
      </c>
      <c r="B1287" s="27">
        <v>242.2509765625</v>
      </c>
      <c r="C1287" s="27">
        <f t="shared" si="43"/>
        <v>5.4899742819805004</v>
      </c>
      <c r="D1287" s="29">
        <f t="shared" si="44"/>
        <v>2.0496358470720732E-3</v>
      </c>
    </row>
    <row r="1288" spans="1:4" x14ac:dyDescent="0.3">
      <c r="A1288" s="26">
        <v>44021</v>
      </c>
      <c r="B1288" s="27">
        <v>243.1659851074219</v>
      </c>
      <c r="C1288" s="27">
        <f t="shared" si="43"/>
        <v>5.4937442764426407</v>
      </c>
      <c r="D1288" s="29">
        <f t="shared" si="44"/>
        <v>6.86705304706825E-4</v>
      </c>
    </row>
    <row r="1289" spans="1:4" x14ac:dyDescent="0.3">
      <c r="A1289" s="26">
        <v>44022</v>
      </c>
      <c r="B1289" s="27">
        <v>243.7328796386719</v>
      </c>
      <c r="C1289" s="27">
        <f t="shared" si="43"/>
        <v>5.496072870031389</v>
      </c>
      <c r="D1289" s="29">
        <f t="shared" si="44"/>
        <v>4.2386275581351995E-4</v>
      </c>
    </row>
    <row r="1290" spans="1:4" x14ac:dyDescent="0.3">
      <c r="A1290" s="26">
        <v>44025</v>
      </c>
      <c r="B1290" s="27">
        <v>237.69598388671881</v>
      </c>
      <c r="C1290" s="27">
        <f t="shared" si="43"/>
        <v>5.4709924785007331</v>
      </c>
      <c r="D1290" s="29">
        <f t="shared" si="44"/>
        <v>-4.5633295124983819E-3</v>
      </c>
    </row>
    <row r="1291" spans="1:4" x14ac:dyDescent="0.3">
      <c r="A1291" s="26">
        <v>44026</v>
      </c>
      <c r="B1291" s="27">
        <v>238.4219970703125</v>
      </c>
      <c r="C1291" s="27">
        <f t="shared" si="43"/>
        <v>5.4740422005248552</v>
      </c>
      <c r="D1291" s="29">
        <f t="shared" si="44"/>
        <v>5.5743487787762724E-4</v>
      </c>
    </row>
    <row r="1292" spans="1:4" x14ac:dyDescent="0.3">
      <c r="A1292" s="26">
        <v>44027</v>
      </c>
      <c r="B1292" s="27">
        <v>238.96900939941409</v>
      </c>
      <c r="C1292" s="27">
        <f t="shared" si="43"/>
        <v>5.4763338757390381</v>
      </c>
      <c r="D1292" s="29">
        <f t="shared" si="44"/>
        <v>4.1864405319391729E-4</v>
      </c>
    </row>
    <row r="1293" spans="1:4" x14ac:dyDescent="0.3">
      <c r="A1293" s="26">
        <v>44028</v>
      </c>
      <c r="B1293" s="27">
        <v>239.6154479980469</v>
      </c>
      <c r="C1293" s="27">
        <f t="shared" si="43"/>
        <v>5.4790353382783152</v>
      </c>
      <c r="D1293" s="29">
        <f t="shared" si="44"/>
        <v>4.9329763315664188E-4</v>
      </c>
    </row>
    <row r="1294" spans="1:4" x14ac:dyDescent="0.3">
      <c r="A1294" s="26">
        <v>44029</v>
      </c>
      <c r="B1294" s="27">
        <v>240.70945739746091</v>
      </c>
      <c r="C1294" s="27">
        <f t="shared" si="43"/>
        <v>5.4835906352404988</v>
      </c>
      <c r="D1294" s="29">
        <f t="shared" si="44"/>
        <v>8.3140492457833837E-4</v>
      </c>
    </row>
    <row r="1295" spans="1:4" x14ac:dyDescent="0.3">
      <c r="A1295" s="26">
        <v>44032</v>
      </c>
      <c r="B1295" s="27">
        <v>244.08094787597659</v>
      </c>
      <c r="C1295" s="27">
        <f t="shared" si="43"/>
        <v>5.4974999238652158</v>
      </c>
      <c r="D1295" s="29">
        <f t="shared" si="44"/>
        <v>2.5365293563908153E-3</v>
      </c>
    </row>
    <row r="1296" spans="1:4" x14ac:dyDescent="0.3">
      <c r="A1296" s="26">
        <v>44033</v>
      </c>
      <c r="B1296" s="27">
        <v>240.43098449707031</v>
      </c>
      <c r="C1296" s="27">
        <f t="shared" si="43"/>
        <v>5.4824330816148317</v>
      </c>
      <c r="D1296" s="29">
        <f t="shared" si="44"/>
        <v>-2.7406716614906124E-3</v>
      </c>
    </row>
    <row r="1297" spans="1:4" x14ac:dyDescent="0.3">
      <c r="A1297" s="26">
        <v>44034</v>
      </c>
      <c r="B1297" s="27">
        <v>238.56121826171881</v>
      </c>
      <c r="C1297" s="27">
        <f t="shared" si="43"/>
        <v>5.4746259577342693</v>
      </c>
      <c r="D1297" s="29">
        <f t="shared" si="44"/>
        <v>-1.4240253851420803E-3</v>
      </c>
    </row>
    <row r="1298" spans="1:4" x14ac:dyDescent="0.3">
      <c r="A1298" s="26">
        <v>44035</v>
      </c>
      <c r="B1298" s="27">
        <v>231.33091735839841</v>
      </c>
      <c r="C1298" s="27">
        <f t="shared" si="43"/>
        <v>5.4438492280884745</v>
      </c>
      <c r="D1298" s="29">
        <f t="shared" si="44"/>
        <v>-5.6217045481098404E-3</v>
      </c>
    </row>
    <row r="1299" spans="1:4" x14ac:dyDescent="0.3">
      <c r="A1299" s="26">
        <v>44036</v>
      </c>
      <c r="B1299" s="27">
        <v>229.45121765136719</v>
      </c>
      <c r="C1299" s="27">
        <f t="shared" si="43"/>
        <v>5.4356904476533776</v>
      </c>
      <c r="D1299" s="29">
        <f t="shared" si="44"/>
        <v>-1.4987153562225908E-3</v>
      </c>
    </row>
    <row r="1300" spans="1:4" x14ac:dyDescent="0.3">
      <c r="A1300" s="26">
        <v>44039</v>
      </c>
      <c r="B1300" s="27">
        <v>232.2259826660156</v>
      </c>
      <c r="C1300" s="27">
        <f t="shared" si="43"/>
        <v>5.4477109607901593</v>
      </c>
      <c r="D1300" s="29">
        <f t="shared" si="44"/>
        <v>2.211405018836432E-3</v>
      </c>
    </row>
    <row r="1301" spans="1:4" x14ac:dyDescent="0.3">
      <c r="A1301" s="26">
        <v>44040</v>
      </c>
      <c r="B1301" s="27">
        <v>228.86442565917969</v>
      </c>
      <c r="C1301" s="27">
        <f t="shared" si="43"/>
        <v>5.4331298005474773</v>
      </c>
      <c r="D1301" s="29">
        <f t="shared" si="44"/>
        <v>-2.6765664235179898E-3</v>
      </c>
    </row>
    <row r="1302" spans="1:4" x14ac:dyDescent="0.3">
      <c r="A1302" s="26">
        <v>44041</v>
      </c>
      <c r="B1302" s="27">
        <v>232.0171203613281</v>
      </c>
      <c r="C1302" s="27">
        <f t="shared" si="43"/>
        <v>5.4468111636045151</v>
      </c>
      <c r="D1302" s="29">
        <f t="shared" si="44"/>
        <v>2.5181366098889768E-3</v>
      </c>
    </row>
    <row r="1303" spans="1:4" x14ac:dyDescent="0.3">
      <c r="A1303" s="26">
        <v>44042</v>
      </c>
      <c r="B1303" s="27">
        <v>233.22053527832031</v>
      </c>
      <c r="C1303" s="27">
        <f t="shared" si="43"/>
        <v>5.4519845092542916</v>
      </c>
      <c r="D1303" s="29">
        <f t="shared" si="44"/>
        <v>9.4979346527468422E-4</v>
      </c>
    </row>
    <row r="1304" spans="1:4" x14ac:dyDescent="0.3">
      <c r="A1304" s="26">
        <v>44043</v>
      </c>
      <c r="B1304" s="27">
        <v>252.28593444824219</v>
      </c>
      <c r="C1304" s="27">
        <f t="shared" si="43"/>
        <v>5.5305631047796133</v>
      </c>
      <c r="D1304" s="29">
        <f t="shared" si="44"/>
        <v>1.4412842771644119E-2</v>
      </c>
    </row>
    <row r="1305" spans="1:4" x14ac:dyDescent="0.3">
      <c r="A1305" s="26">
        <v>44046</v>
      </c>
      <c r="B1305" s="27">
        <v>250.58528137207031</v>
      </c>
      <c r="C1305" s="27">
        <f t="shared" si="43"/>
        <v>5.5237993071858895</v>
      </c>
      <c r="D1305" s="29">
        <f t="shared" si="44"/>
        <v>-1.2229853390296475E-3</v>
      </c>
    </row>
    <row r="1306" spans="1:4" x14ac:dyDescent="0.3">
      <c r="A1306" s="26">
        <v>44047</v>
      </c>
      <c r="B1306" s="27">
        <v>248.4669189453125</v>
      </c>
      <c r="C1306" s="27">
        <f t="shared" si="43"/>
        <v>5.5153097137185476</v>
      </c>
      <c r="D1306" s="29">
        <f t="shared" si="44"/>
        <v>-1.5369120048039919E-3</v>
      </c>
    </row>
    <row r="1307" spans="1:4" x14ac:dyDescent="0.3">
      <c r="A1307" s="26">
        <v>44048</v>
      </c>
      <c r="B1307" s="27">
        <v>247.7607727050781</v>
      </c>
      <c r="C1307" s="27">
        <f t="shared" si="43"/>
        <v>5.5124636544245256</v>
      </c>
      <c r="D1307" s="29">
        <f t="shared" si="44"/>
        <v>-5.1602891618995894E-4</v>
      </c>
    </row>
    <row r="1308" spans="1:4" x14ac:dyDescent="0.3">
      <c r="A1308" s="26">
        <v>44049</v>
      </c>
      <c r="B1308" s="27">
        <v>263.83261108398438</v>
      </c>
      <c r="C1308" s="27">
        <f t="shared" si="43"/>
        <v>5.5753148531279884</v>
      </c>
      <c r="D1308" s="29">
        <f t="shared" si="44"/>
        <v>1.140165317063202E-2</v>
      </c>
    </row>
    <row r="1309" spans="1:4" x14ac:dyDescent="0.3">
      <c r="A1309" s="26">
        <v>44050</v>
      </c>
      <c r="B1309" s="27">
        <v>266.975341796875</v>
      </c>
      <c r="C1309" s="27">
        <f t="shared" si="43"/>
        <v>5.5871563013147725</v>
      </c>
      <c r="D1309" s="29">
        <f t="shared" si="44"/>
        <v>2.123906631056105E-3</v>
      </c>
    </row>
    <row r="1310" spans="1:4" x14ac:dyDescent="0.3">
      <c r="A1310" s="26">
        <v>44053</v>
      </c>
      <c r="B1310" s="27">
        <v>261.5650634765625</v>
      </c>
      <c r="C1310" s="27">
        <f t="shared" si="43"/>
        <v>5.5666830612630092</v>
      </c>
      <c r="D1310" s="29">
        <f t="shared" si="44"/>
        <v>-3.6643399517829467E-3</v>
      </c>
    </row>
    <row r="1311" spans="1:4" x14ac:dyDescent="0.3">
      <c r="A1311" s="26">
        <v>44054</v>
      </c>
      <c r="B1311" s="27">
        <v>254.73252868652341</v>
      </c>
      <c r="C1311" s="27">
        <f t="shared" si="43"/>
        <v>5.5402140875587147</v>
      </c>
      <c r="D1311" s="29">
        <f t="shared" si="44"/>
        <v>-4.7548914520542107E-3</v>
      </c>
    </row>
    <row r="1312" spans="1:4" x14ac:dyDescent="0.3">
      <c r="A1312" s="26">
        <v>44055</v>
      </c>
      <c r="B1312" s="27">
        <v>258.47201538085938</v>
      </c>
      <c r="C1312" s="27">
        <f t="shared" si="43"/>
        <v>5.5547874303739171</v>
      </c>
      <c r="D1312" s="29">
        <f t="shared" si="44"/>
        <v>2.6304656435440776E-3</v>
      </c>
    </row>
    <row r="1313" spans="1:4" x14ac:dyDescent="0.3">
      <c r="A1313" s="26">
        <v>44056</v>
      </c>
      <c r="B1313" s="27">
        <v>259.87429809570313</v>
      </c>
      <c r="C1313" s="27">
        <f t="shared" si="43"/>
        <v>5.5601980452440944</v>
      </c>
      <c r="D1313" s="29">
        <f t="shared" si="44"/>
        <v>9.7404535060907627E-4</v>
      </c>
    </row>
    <row r="1314" spans="1:4" x14ac:dyDescent="0.3">
      <c r="A1314" s="26">
        <v>44057</v>
      </c>
      <c r="B1314" s="27">
        <v>259.81460571289063</v>
      </c>
      <c r="C1314" s="27">
        <f t="shared" si="43"/>
        <v>5.5599683217205111</v>
      </c>
      <c r="D1314" s="29">
        <f t="shared" si="44"/>
        <v>-4.131570884957636E-5</v>
      </c>
    </row>
    <row r="1315" spans="1:4" x14ac:dyDescent="0.3">
      <c r="A1315" s="26">
        <v>44060</v>
      </c>
      <c r="B1315" s="27">
        <v>259.735107421875</v>
      </c>
      <c r="C1315" s="27">
        <f t="shared" si="43"/>
        <v>5.5596622940599181</v>
      </c>
      <c r="D1315" s="29">
        <f t="shared" si="44"/>
        <v>-5.5041259749200044E-5</v>
      </c>
    </row>
    <row r="1316" spans="1:4" x14ac:dyDescent="0.3">
      <c r="A1316" s="26">
        <v>44061</v>
      </c>
      <c r="B1316" s="27">
        <v>260.90866088867188</v>
      </c>
      <c r="C1316" s="27">
        <f t="shared" si="43"/>
        <v>5.5641703877920534</v>
      </c>
      <c r="D1316" s="29">
        <f t="shared" si="44"/>
        <v>8.1085747545350806E-4</v>
      </c>
    </row>
    <row r="1317" spans="1:4" x14ac:dyDescent="0.3">
      <c r="A1317" s="26">
        <v>44062</v>
      </c>
      <c r="B1317" s="27">
        <v>261.15719604492188</v>
      </c>
      <c r="C1317" s="27">
        <f t="shared" si="43"/>
        <v>5.5651225097196786</v>
      </c>
      <c r="D1317" s="29">
        <f t="shared" si="44"/>
        <v>1.7111660162560938E-4</v>
      </c>
    </row>
    <row r="1318" spans="1:4" x14ac:dyDescent="0.3">
      <c r="A1318" s="26">
        <v>44063</v>
      </c>
      <c r="B1318" s="27">
        <v>267.54226684570313</v>
      </c>
      <c r="C1318" s="27">
        <f t="shared" si="43"/>
        <v>5.5892775607541108</v>
      </c>
      <c r="D1318" s="29">
        <f t="shared" si="44"/>
        <v>4.340434732972076E-3</v>
      </c>
    </row>
    <row r="1319" spans="1:4" x14ac:dyDescent="0.3">
      <c r="A1319" s="26">
        <v>44064</v>
      </c>
      <c r="B1319" s="27">
        <v>265.55316162109381</v>
      </c>
      <c r="C1319" s="27">
        <f t="shared" si="43"/>
        <v>5.5818150527327388</v>
      </c>
      <c r="D1319" s="29">
        <f t="shared" si="44"/>
        <v>-1.3351471527860426E-3</v>
      </c>
    </row>
    <row r="1320" spans="1:4" x14ac:dyDescent="0.3">
      <c r="A1320" s="26">
        <v>44067</v>
      </c>
      <c r="B1320" s="27">
        <v>269.90927124023438</v>
      </c>
      <c r="C1320" s="27">
        <f t="shared" si="43"/>
        <v>5.5980858700832457</v>
      </c>
      <c r="D1320" s="29">
        <f t="shared" si="44"/>
        <v>2.9149689118670441E-3</v>
      </c>
    </row>
    <row r="1321" spans="1:4" x14ac:dyDescent="0.3">
      <c r="A1321" s="26">
        <v>44068</v>
      </c>
      <c r="B1321" s="27">
        <v>279.28781127929688</v>
      </c>
      <c r="C1321" s="27">
        <f t="shared" si="43"/>
        <v>5.632242831752885</v>
      </c>
      <c r="D1321" s="29">
        <f t="shared" si="44"/>
        <v>6.1015430027926421E-3</v>
      </c>
    </row>
    <row r="1322" spans="1:4" x14ac:dyDescent="0.3">
      <c r="A1322" s="26">
        <v>44069</v>
      </c>
      <c r="B1322" s="27">
        <v>302.25180053710938</v>
      </c>
      <c r="C1322" s="27">
        <f t="shared" si="43"/>
        <v>5.7112604465891827</v>
      </c>
      <c r="D1322" s="29">
        <f t="shared" si="44"/>
        <v>1.4029511368156999E-2</v>
      </c>
    </row>
    <row r="1323" spans="1:4" x14ac:dyDescent="0.3">
      <c r="A1323" s="26">
        <v>44070</v>
      </c>
      <c r="B1323" s="27">
        <v>291.62014770507813</v>
      </c>
      <c r="C1323" s="27">
        <f t="shared" si="43"/>
        <v>5.675452091386461</v>
      </c>
      <c r="D1323" s="29">
        <f t="shared" si="44"/>
        <v>-6.2697815197880757E-3</v>
      </c>
    </row>
    <row r="1324" spans="1:4" x14ac:dyDescent="0.3">
      <c r="A1324" s="26">
        <v>44071</v>
      </c>
      <c r="B1324" s="27">
        <v>292.0577392578125</v>
      </c>
      <c r="C1324" s="27">
        <f t="shared" si="43"/>
        <v>5.6769515199051508</v>
      </c>
      <c r="D1324" s="29">
        <f t="shared" si="44"/>
        <v>2.6419543228373144E-4</v>
      </c>
    </row>
    <row r="1325" spans="1:4" x14ac:dyDescent="0.3">
      <c r="A1325" s="26">
        <v>44074</v>
      </c>
      <c r="B1325" s="27">
        <v>291.60028076171881</v>
      </c>
      <c r="C1325" s="27">
        <f t="shared" si="43"/>
        <v>5.6753839629657223</v>
      </c>
      <c r="D1325" s="29">
        <f t="shared" si="44"/>
        <v>-2.7612653268782594E-4</v>
      </c>
    </row>
    <row r="1326" spans="1:4" x14ac:dyDescent="0.3">
      <c r="A1326" s="26">
        <v>44075</v>
      </c>
      <c r="B1326" s="27">
        <v>293.82803344726563</v>
      </c>
      <c r="C1326" s="27">
        <f t="shared" si="43"/>
        <v>5.6829946759587022</v>
      </c>
      <c r="D1326" s="29">
        <f t="shared" si="44"/>
        <v>1.3410040699701753E-3</v>
      </c>
    </row>
    <row r="1327" spans="1:4" x14ac:dyDescent="0.3">
      <c r="A1327" s="26">
        <v>44076</v>
      </c>
      <c r="B1327" s="27">
        <v>300.84951782226563</v>
      </c>
      <c r="C1327" s="27">
        <f t="shared" si="43"/>
        <v>5.7066101989469962</v>
      </c>
      <c r="D1327" s="29">
        <f t="shared" si="44"/>
        <v>4.1554716016534154E-3</v>
      </c>
    </row>
    <row r="1328" spans="1:4" x14ac:dyDescent="0.3">
      <c r="A1328" s="26">
        <v>44077</v>
      </c>
      <c r="B1328" s="27">
        <v>289.5316162109375</v>
      </c>
      <c r="C1328" s="27">
        <f t="shared" si="43"/>
        <v>5.6682645007597321</v>
      </c>
      <c r="D1328" s="29">
        <f t="shared" si="44"/>
        <v>-6.7195229480261354E-3</v>
      </c>
    </row>
    <row r="1329" spans="1:4" x14ac:dyDescent="0.3">
      <c r="A1329" s="26">
        <v>44078</v>
      </c>
      <c r="B1329" s="27">
        <v>281.1873779296875</v>
      </c>
      <c r="C1329" s="27">
        <f t="shared" si="43"/>
        <v>5.6390212724770468</v>
      </c>
      <c r="D1329" s="29">
        <f t="shared" si="44"/>
        <v>-5.1591149775678247E-3</v>
      </c>
    </row>
    <row r="1330" spans="1:4" x14ac:dyDescent="0.3">
      <c r="A1330" s="26">
        <v>44082</v>
      </c>
      <c r="B1330" s="27">
        <v>269.68051147460938</v>
      </c>
      <c r="C1330" s="27">
        <f t="shared" si="43"/>
        <v>5.5972379675222319</v>
      </c>
      <c r="D1330" s="29">
        <f t="shared" si="44"/>
        <v>-7.409673228003455E-3</v>
      </c>
    </row>
    <row r="1331" spans="1:4" x14ac:dyDescent="0.3">
      <c r="A1331" s="26">
        <v>44083</v>
      </c>
      <c r="B1331" s="27">
        <v>272.2265625</v>
      </c>
      <c r="C1331" s="27">
        <f t="shared" si="43"/>
        <v>5.6066346699530021</v>
      </c>
      <c r="D1331" s="29">
        <f t="shared" si="44"/>
        <v>1.6788106000307224E-3</v>
      </c>
    </row>
    <row r="1332" spans="1:4" x14ac:dyDescent="0.3">
      <c r="A1332" s="26">
        <v>44084</v>
      </c>
      <c r="B1332" s="27">
        <v>266.62722778320313</v>
      </c>
      <c r="C1332" s="27">
        <f t="shared" si="43"/>
        <v>5.5858515322491655</v>
      </c>
      <c r="D1332" s="29">
        <f t="shared" si="44"/>
        <v>-3.7068828142516885E-3</v>
      </c>
    </row>
    <row r="1333" spans="1:4" x14ac:dyDescent="0.3">
      <c r="A1333" s="26">
        <v>44085</v>
      </c>
      <c r="B1333" s="27">
        <v>265.1552734375</v>
      </c>
      <c r="C1333" s="27">
        <f t="shared" si="43"/>
        <v>5.5803155918918712</v>
      </c>
      <c r="D1333" s="29">
        <f t="shared" si="44"/>
        <v>-9.9106471508114691E-4</v>
      </c>
    </row>
    <row r="1334" spans="1:4" x14ac:dyDescent="0.3">
      <c r="A1334" s="26">
        <v>44088</v>
      </c>
      <c r="B1334" s="27">
        <v>264.69784545898438</v>
      </c>
      <c r="C1334" s="27">
        <f t="shared" si="43"/>
        <v>5.5785889696418796</v>
      </c>
      <c r="D1334" s="29">
        <f t="shared" si="44"/>
        <v>-3.094130110670168E-4</v>
      </c>
    </row>
    <row r="1335" spans="1:4" x14ac:dyDescent="0.3">
      <c r="A1335" s="26">
        <v>44089</v>
      </c>
      <c r="B1335" s="27">
        <v>270.93362426757813</v>
      </c>
      <c r="C1335" s="27">
        <f t="shared" si="43"/>
        <v>5.6018738619777926</v>
      </c>
      <c r="D1335" s="29">
        <f t="shared" si="44"/>
        <v>4.1739752583722645E-3</v>
      </c>
    </row>
    <row r="1336" spans="1:4" x14ac:dyDescent="0.3">
      <c r="A1336" s="26">
        <v>44090</v>
      </c>
      <c r="B1336" s="27">
        <v>262.0821533203125</v>
      </c>
      <c r="C1336" s="27">
        <f t="shared" si="43"/>
        <v>5.5686580169019848</v>
      </c>
      <c r="D1336" s="29">
        <f t="shared" si="44"/>
        <v>-5.9294168155511473E-3</v>
      </c>
    </row>
    <row r="1337" spans="1:4" x14ac:dyDescent="0.3">
      <c r="A1337" s="26">
        <v>44091</v>
      </c>
      <c r="B1337" s="27">
        <v>253.42967224121091</v>
      </c>
      <c r="C1337" s="27">
        <f t="shared" si="43"/>
        <v>5.5350863574848663</v>
      </c>
      <c r="D1337" s="29">
        <f t="shared" si="44"/>
        <v>-6.0286803957473323E-3</v>
      </c>
    </row>
    <row r="1338" spans="1:4" x14ac:dyDescent="0.3">
      <c r="A1338" s="26">
        <v>44092</v>
      </c>
      <c r="B1338" s="27">
        <v>251.15216064453119</v>
      </c>
      <c r="C1338" s="27">
        <f t="shared" si="43"/>
        <v>5.5260589731633534</v>
      </c>
      <c r="D1338" s="29">
        <f t="shared" si="44"/>
        <v>-1.6309382977025555E-3</v>
      </c>
    </row>
    <row r="1339" spans="1:4" x14ac:dyDescent="0.3">
      <c r="A1339" s="26">
        <v>44095</v>
      </c>
      <c r="B1339" s="27">
        <v>246.79603576660159</v>
      </c>
      <c r="C1339" s="27">
        <f t="shared" si="43"/>
        <v>5.5085622293681995</v>
      </c>
      <c r="D1339" s="29">
        <f t="shared" si="44"/>
        <v>-3.1662245879250372E-3</v>
      </c>
    </row>
    <row r="1340" spans="1:4" x14ac:dyDescent="0.3">
      <c r="A1340" s="26">
        <v>44096</v>
      </c>
      <c r="B1340" s="27">
        <v>253.36003112792969</v>
      </c>
      <c r="C1340" s="27">
        <f t="shared" si="43"/>
        <v>5.5348115250908512</v>
      </c>
      <c r="D1340" s="29">
        <f t="shared" si="44"/>
        <v>4.7651809364532838E-3</v>
      </c>
    </row>
    <row r="1341" spans="1:4" x14ac:dyDescent="0.3">
      <c r="A1341" s="26">
        <v>44097</v>
      </c>
      <c r="B1341" s="27">
        <v>247.66131591796881</v>
      </c>
      <c r="C1341" s="27">
        <f t="shared" si="43"/>
        <v>5.5120621511781858</v>
      </c>
      <c r="D1341" s="29">
        <f t="shared" si="44"/>
        <v>-4.1102346140489132E-3</v>
      </c>
    </row>
    <row r="1342" spans="1:4" x14ac:dyDescent="0.3">
      <c r="A1342" s="26">
        <v>44098</v>
      </c>
      <c r="B1342" s="27">
        <v>248.16853332519531</v>
      </c>
      <c r="C1342" s="27">
        <f t="shared" si="43"/>
        <v>5.5141080852216025</v>
      </c>
      <c r="D1342" s="29">
        <f t="shared" si="44"/>
        <v>3.711739794116653E-4</v>
      </c>
    </row>
    <row r="1343" spans="1:4" x14ac:dyDescent="0.3">
      <c r="A1343" s="26">
        <v>44099</v>
      </c>
      <c r="B1343" s="27">
        <v>253.42967224121091</v>
      </c>
      <c r="C1343" s="27">
        <f t="shared" si="43"/>
        <v>5.5350863574848663</v>
      </c>
      <c r="D1343" s="29">
        <f t="shared" si="44"/>
        <v>3.8044724439638689E-3</v>
      </c>
    </row>
    <row r="1344" spans="1:4" x14ac:dyDescent="0.3">
      <c r="A1344" s="26">
        <v>44102</v>
      </c>
      <c r="B1344" s="27">
        <v>255.41876220703119</v>
      </c>
      <c r="C1344" s="27">
        <f t="shared" si="43"/>
        <v>5.5429044029481256</v>
      </c>
      <c r="D1344" s="29">
        <f t="shared" si="44"/>
        <v>1.4124523012521983E-3</v>
      </c>
    </row>
    <row r="1345" spans="1:4" x14ac:dyDescent="0.3">
      <c r="A1345" s="26">
        <v>44103</v>
      </c>
      <c r="B1345" s="27">
        <v>260.36166381835938</v>
      </c>
      <c r="C1345" s="27">
        <f t="shared" si="43"/>
        <v>5.5620716791368299</v>
      </c>
      <c r="D1345" s="29">
        <f t="shared" si="44"/>
        <v>3.4579842615560796E-3</v>
      </c>
    </row>
    <row r="1346" spans="1:4" x14ac:dyDescent="0.3">
      <c r="A1346" s="26">
        <v>44104</v>
      </c>
      <c r="B1346" s="27">
        <v>260.4710693359375</v>
      </c>
      <c r="C1346" s="27">
        <f t="shared" si="43"/>
        <v>5.562491796814629</v>
      </c>
      <c r="D1346" s="29">
        <f t="shared" si="44"/>
        <v>7.5532589659976779E-5</v>
      </c>
    </row>
    <row r="1347" spans="1:4" x14ac:dyDescent="0.3">
      <c r="A1347" s="26">
        <v>44105</v>
      </c>
      <c r="B1347" s="27">
        <v>265.17526245117188</v>
      </c>
      <c r="C1347" s="27">
        <f t="shared" ref="C1347:C1410" si="45">LN(B1347)</f>
        <v>5.5803909751192311</v>
      </c>
      <c r="D1347" s="29">
        <f t="shared" si="44"/>
        <v>3.2178345530058383E-3</v>
      </c>
    </row>
    <row r="1348" spans="1:4" x14ac:dyDescent="0.3">
      <c r="A1348" s="26">
        <v>44106</v>
      </c>
      <c r="B1348" s="27">
        <v>258.521728515625</v>
      </c>
      <c r="C1348" s="27">
        <f t="shared" si="45"/>
        <v>5.5549797465692512</v>
      </c>
      <c r="D1348" s="29">
        <f t="shared" ref="D1348:D1411" si="46">C1348/C1347-1</f>
        <v>-4.5536645484659521E-3</v>
      </c>
    </row>
    <row r="1349" spans="1:4" x14ac:dyDescent="0.3">
      <c r="A1349" s="26">
        <v>44109</v>
      </c>
      <c r="B1349" s="27">
        <v>263.20602416992188</v>
      </c>
      <c r="C1349" s="27">
        <f t="shared" si="45"/>
        <v>5.572937087372825</v>
      </c>
      <c r="D1349" s="29">
        <f t="shared" si="46"/>
        <v>3.2326563953115617E-3</v>
      </c>
    </row>
    <row r="1350" spans="1:4" x14ac:dyDescent="0.3">
      <c r="A1350" s="26">
        <v>44110</v>
      </c>
      <c r="B1350" s="27">
        <v>257.24871826171881</v>
      </c>
      <c r="C1350" s="27">
        <f t="shared" si="45"/>
        <v>5.5500433922400116</v>
      </c>
      <c r="D1350" s="29">
        <f t="shared" si="46"/>
        <v>-4.1080124849580679E-3</v>
      </c>
    </row>
    <row r="1351" spans="1:4" x14ac:dyDescent="0.3">
      <c r="A1351" s="26">
        <v>44111</v>
      </c>
      <c r="B1351" s="27">
        <v>256.711669921875</v>
      </c>
      <c r="C1351" s="27">
        <f t="shared" si="45"/>
        <v>5.5479535481677766</v>
      </c>
      <c r="D1351" s="29">
        <f t="shared" si="46"/>
        <v>-3.7654553749200126E-4</v>
      </c>
    </row>
    <row r="1352" spans="1:4" x14ac:dyDescent="0.3">
      <c r="A1352" s="26">
        <v>44112</v>
      </c>
      <c r="B1352" s="27">
        <v>262.3209228515625</v>
      </c>
      <c r="C1352" s="27">
        <f t="shared" si="45"/>
        <v>5.5695686505675734</v>
      </c>
      <c r="D1352" s="29">
        <f t="shared" si="46"/>
        <v>3.8960496356237329E-3</v>
      </c>
    </row>
    <row r="1353" spans="1:4" x14ac:dyDescent="0.3">
      <c r="A1353" s="26">
        <v>44113</v>
      </c>
      <c r="B1353" s="27">
        <v>263.00711059570313</v>
      </c>
      <c r="C1353" s="27">
        <f t="shared" si="45"/>
        <v>5.5721810682978488</v>
      </c>
      <c r="D1353" s="29">
        <f t="shared" si="46"/>
        <v>4.6905207461778176E-4</v>
      </c>
    </row>
    <row r="1354" spans="1:4" x14ac:dyDescent="0.3">
      <c r="A1354" s="26">
        <v>44116</v>
      </c>
      <c r="B1354" s="27">
        <v>274.24545288085938</v>
      </c>
      <c r="C1354" s="27">
        <f t="shared" si="45"/>
        <v>5.6140235188204732</v>
      </c>
      <c r="D1354" s="29">
        <f t="shared" si="46"/>
        <v>7.5091692121567188E-3</v>
      </c>
    </row>
    <row r="1355" spans="1:4" x14ac:dyDescent="0.3">
      <c r="A1355" s="26">
        <v>44117</v>
      </c>
      <c r="B1355" s="27">
        <v>274.63333129882813</v>
      </c>
      <c r="C1355" s="27">
        <f t="shared" si="45"/>
        <v>5.6154368672453563</v>
      </c>
      <c r="D1355" s="29">
        <f t="shared" si="46"/>
        <v>2.5175320697257142E-4</v>
      </c>
    </row>
    <row r="1356" spans="1:4" x14ac:dyDescent="0.3">
      <c r="A1356" s="26">
        <v>44118</v>
      </c>
      <c r="B1356" s="27">
        <v>270.33694458007813</v>
      </c>
      <c r="C1356" s="27">
        <f t="shared" si="45"/>
        <v>5.5996691238540528</v>
      </c>
      <c r="D1356" s="29">
        <f t="shared" si="46"/>
        <v>-2.8079281744357587E-3</v>
      </c>
    </row>
    <row r="1357" spans="1:4" x14ac:dyDescent="0.3">
      <c r="A1357" s="26">
        <v>44119</v>
      </c>
      <c r="B1357" s="27">
        <v>265.26473999023438</v>
      </c>
      <c r="C1357" s="27">
        <f t="shared" si="45"/>
        <v>5.5807283461300869</v>
      </c>
      <c r="D1357" s="29">
        <f t="shared" si="46"/>
        <v>-3.3824815904354155E-3</v>
      </c>
    </row>
    <row r="1358" spans="1:4" x14ac:dyDescent="0.3">
      <c r="A1358" s="26">
        <v>44120</v>
      </c>
      <c r="B1358" s="27">
        <v>264.47900390625</v>
      </c>
      <c r="C1358" s="27">
        <f t="shared" si="45"/>
        <v>5.5777618678309349</v>
      </c>
      <c r="D1358" s="29">
        <f t="shared" si="46"/>
        <v>-5.3155755219824741E-4</v>
      </c>
    </row>
    <row r="1359" spans="1:4" x14ac:dyDescent="0.3">
      <c r="A1359" s="26">
        <v>44123</v>
      </c>
      <c r="B1359" s="27">
        <v>259.97372436523438</v>
      </c>
      <c r="C1359" s="27">
        <f t="shared" si="45"/>
        <v>5.5605805657748943</v>
      </c>
      <c r="D1359" s="29">
        <f t="shared" si="46"/>
        <v>-3.0803219038681995E-3</v>
      </c>
    </row>
    <row r="1360" spans="1:4" x14ac:dyDescent="0.3">
      <c r="A1360" s="26">
        <v>44124</v>
      </c>
      <c r="B1360" s="27">
        <v>266.10015869140619</v>
      </c>
      <c r="C1360" s="27">
        <f t="shared" si="45"/>
        <v>5.5838727743435044</v>
      </c>
      <c r="D1360" s="29">
        <f t="shared" si="46"/>
        <v>4.1888087571237964E-3</v>
      </c>
    </row>
    <row r="1361" spans="1:4" x14ac:dyDescent="0.3">
      <c r="A1361" s="26">
        <v>44125</v>
      </c>
      <c r="B1361" s="27">
        <v>277.20925903320313</v>
      </c>
      <c r="C1361" s="27">
        <f t="shared" si="45"/>
        <v>5.6247726687535966</v>
      </c>
      <c r="D1361" s="29">
        <f t="shared" si="46"/>
        <v>7.3246465424530172E-3</v>
      </c>
    </row>
    <row r="1362" spans="1:4" x14ac:dyDescent="0.3">
      <c r="A1362" s="26">
        <v>44126</v>
      </c>
      <c r="B1362" s="27">
        <v>276.6025390625</v>
      </c>
      <c r="C1362" s="27">
        <f t="shared" si="45"/>
        <v>5.6225815987348025</v>
      </c>
      <c r="D1362" s="29">
        <f t="shared" si="46"/>
        <v>-3.8953930191099051E-4</v>
      </c>
    </row>
    <row r="1363" spans="1:4" x14ac:dyDescent="0.3">
      <c r="A1363" s="26">
        <v>44127</v>
      </c>
      <c r="B1363" s="27">
        <v>283.23614501953119</v>
      </c>
      <c r="C1363" s="27">
        <f t="shared" si="45"/>
        <v>5.6462809843941413</v>
      </c>
      <c r="D1363" s="29">
        <f t="shared" si="46"/>
        <v>4.2150363215132103E-3</v>
      </c>
    </row>
    <row r="1364" spans="1:4" x14ac:dyDescent="0.3">
      <c r="A1364" s="26">
        <v>44130</v>
      </c>
      <c r="B1364" s="27">
        <v>275.59808349609381</v>
      </c>
      <c r="C1364" s="27">
        <f t="shared" si="45"/>
        <v>5.6189435851824285</v>
      </c>
      <c r="D1364" s="29">
        <f t="shared" si="46"/>
        <v>-4.8416646793297824E-3</v>
      </c>
    </row>
    <row r="1365" spans="1:4" x14ac:dyDescent="0.3">
      <c r="A1365" s="26">
        <v>44131</v>
      </c>
      <c r="B1365" s="27">
        <v>281.74435424804688</v>
      </c>
      <c r="C1365" s="27">
        <f t="shared" si="45"/>
        <v>5.6410001145577944</v>
      </c>
      <c r="D1365" s="29">
        <f t="shared" si="46"/>
        <v>3.9253872264406464E-3</v>
      </c>
    </row>
    <row r="1366" spans="1:4" x14ac:dyDescent="0.3">
      <c r="A1366" s="26">
        <v>44132</v>
      </c>
      <c r="B1366" s="27">
        <v>266.20956420898438</v>
      </c>
      <c r="C1366" s="27">
        <f t="shared" si="45"/>
        <v>5.5842838339744372</v>
      </c>
      <c r="D1366" s="29">
        <f t="shared" si="46"/>
        <v>-1.0054295236936572E-2</v>
      </c>
    </row>
    <row r="1367" spans="1:4" x14ac:dyDescent="0.3">
      <c r="A1367" s="26">
        <v>44133</v>
      </c>
      <c r="B1367" s="27">
        <v>279.29776000976563</v>
      </c>
      <c r="C1367" s="27">
        <f t="shared" si="45"/>
        <v>5.6322784529038099</v>
      </c>
      <c r="D1367" s="29">
        <f t="shared" si="46"/>
        <v>8.5945880181406142E-3</v>
      </c>
    </row>
    <row r="1368" spans="1:4" x14ac:dyDescent="0.3">
      <c r="A1368" s="26">
        <v>44134</v>
      </c>
      <c r="B1368" s="27">
        <v>261.67440795898438</v>
      </c>
      <c r="C1368" s="27">
        <f t="shared" si="45"/>
        <v>5.5671010132333123</v>
      </c>
      <c r="D1368" s="29">
        <f t="shared" si="46"/>
        <v>-1.1572126665167715E-2</v>
      </c>
    </row>
    <row r="1369" spans="1:4" x14ac:dyDescent="0.3">
      <c r="A1369" s="26">
        <v>44137</v>
      </c>
      <c r="B1369" s="27">
        <v>259.9339599609375</v>
      </c>
      <c r="C1369" s="27">
        <f t="shared" si="45"/>
        <v>5.5604275986017857</v>
      </c>
      <c r="D1369" s="29">
        <f t="shared" si="46"/>
        <v>-1.1987234676833491E-3</v>
      </c>
    </row>
    <row r="1370" spans="1:4" x14ac:dyDescent="0.3">
      <c r="A1370" s="26">
        <v>44138</v>
      </c>
      <c r="B1370" s="27">
        <v>263.85247802734381</v>
      </c>
      <c r="C1370" s="27">
        <f t="shared" si="45"/>
        <v>5.5753901516110371</v>
      </c>
      <c r="D1370" s="29">
        <f t="shared" si="46"/>
        <v>2.6908997094061693E-3</v>
      </c>
    </row>
    <row r="1371" spans="1:4" x14ac:dyDescent="0.3">
      <c r="A1371" s="26">
        <v>44139</v>
      </c>
      <c r="B1371" s="27">
        <v>285.81201171875</v>
      </c>
      <c r="C1371" s="27">
        <f t="shared" si="45"/>
        <v>5.6553342930197008</v>
      </c>
      <c r="D1371" s="29">
        <f t="shared" si="46"/>
        <v>1.4338752846841274E-2</v>
      </c>
    </row>
    <row r="1372" spans="1:4" x14ac:dyDescent="0.3">
      <c r="A1372" s="26">
        <v>44140</v>
      </c>
      <c r="B1372" s="27">
        <v>293.07217407226563</v>
      </c>
      <c r="C1372" s="27">
        <f t="shared" si="45"/>
        <v>5.6804189065750252</v>
      </c>
      <c r="D1372" s="29">
        <f t="shared" si="46"/>
        <v>4.4355668923561353E-3</v>
      </c>
    </row>
    <row r="1373" spans="1:4" x14ac:dyDescent="0.3">
      <c r="A1373" s="26">
        <v>44141</v>
      </c>
      <c r="B1373" s="27">
        <v>291.80911254882813</v>
      </c>
      <c r="C1373" s="27">
        <f t="shared" si="45"/>
        <v>5.6760998643496325</v>
      </c>
      <c r="D1373" s="29">
        <f t="shared" si="46"/>
        <v>-7.6033868213376543E-4</v>
      </c>
    </row>
    <row r="1374" spans="1:4" x14ac:dyDescent="0.3">
      <c r="A1374" s="26">
        <v>44144</v>
      </c>
      <c r="B1374" s="27">
        <v>277.24899291992188</v>
      </c>
      <c r="C1374" s="27">
        <f t="shared" si="45"/>
        <v>5.6249159938340574</v>
      </c>
      <c r="D1374" s="29">
        <f t="shared" si="46"/>
        <v>-9.0174365741959583E-3</v>
      </c>
    </row>
    <row r="1375" spans="1:4" x14ac:dyDescent="0.3">
      <c r="A1375" s="26">
        <v>44145</v>
      </c>
      <c r="B1375" s="27">
        <v>270.943603515625</v>
      </c>
      <c r="C1375" s="27">
        <f t="shared" si="45"/>
        <v>5.6019106941144337</v>
      </c>
      <c r="D1375" s="29">
        <f t="shared" si="46"/>
        <v>-4.0898921414722622E-3</v>
      </c>
    </row>
    <row r="1376" spans="1:4" x14ac:dyDescent="0.3">
      <c r="A1376" s="26">
        <v>44146</v>
      </c>
      <c r="B1376" s="27">
        <v>274.97149658203119</v>
      </c>
      <c r="C1376" s="27">
        <f t="shared" si="45"/>
        <v>5.6166674435020498</v>
      </c>
      <c r="D1376" s="29">
        <f t="shared" si="46"/>
        <v>2.6342350304013884E-3</v>
      </c>
    </row>
    <row r="1377" spans="1:4" x14ac:dyDescent="0.3">
      <c r="A1377" s="26">
        <v>44147</v>
      </c>
      <c r="B1377" s="27">
        <v>273.5791015625</v>
      </c>
      <c r="C1377" s="27">
        <f t="shared" si="45"/>
        <v>5.6115907996530545</v>
      </c>
      <c r="D1377" s="29">
        <f t="shared" si="46"/>
        <v>-9.0385337926113252E-4</v>
      </c>
    </row>
    <row r="1378" spans="1:4" x14ac:dyDescent="0.3">
      <c r="A1378" s="26">
        <v>44148</v>
      </c>
      <c r="B1378" s="27">
        <v>275.43893432617188</v>
      </c>
      <c r="C1378" s="27">
        <f t="shared" si="45"/>
        <v>5.6183659500356065</v>
      </c>
      <c r="D1378" s="29">
        <f t="shared" si="46"/>
        <v>1.2073493282815928E-3</v>
      </c>
    </row>
    <row r="1379" spans="1:4" x14ac:dyDescent="0.3">
      <c r="A1379" s="26">
        <v>44151</v>
      </c>
      <c r="B1379" s="27">
        <v>277.43795776367188</v>
      </c>
      <c r="C1379" s="27">
        <f t="shared" si="45"/>
        <v>5.6255973325633253</v>
      </c>
      <c r="D1379" s="29">
        <f t="shared" si="46"/>
        <v>1.2870971011906818E-3</v>
      </c>
    </row>
    <row r="1380" spans="1:4" x14ac:dyDescent="0.3">
      <c r="A1380" s="26">
        <v>44152</v>
      </c>
      <c r="B1380" s="27">
        <v>273.49957275390619</v>
      </c>
      <c r="C1380" s="27">
        <f t="shared" si="45"/>
        <v>5.6113000597178768</v>
      </c>
      <c r="D1380" s="29">
        <f t="shared" si="46"/>
        <v>-2.5414675100704498E-3</v>
      </c>
    </row>
    <row r="1381" spans="1:4" x14ac:dyDescent="0.3">
      <c r="A1381" s="26">
        <v>44153</v>
      </c>
      <c r="B1381" s="27">
        <v>270.486083984375</v>
      </c>
      <c r="C1381" s="27">
        <f t="shared" si="45"/>
        <v>5.6002206514340571</v>
      </c>
      <c r="D1381" s="29">
        <f t="shared" si="46"/>
        <v>-1.9744815222689782E-3</v>
      </c>
    </row>
    <row r="1382" spans="1:4" x14ac:dyDescent="0.3">
      <c r="A1382" s="26">
        <v>44154</v>
      </c>
      <c r="B1382" s="27">
        <v>271.45083618164063</v>
      </c>
      <c r="C1382" s="27">
        <f t="shared" si="45"/>
        <v>5.6037810407727262</v>
      </c>
      <c r="D1382" s="29">
        <f t="shared" si="46"/>
        <v>6.3575876028343359E-4</v>
      </c>
    </row>
    <row r="1383" spans="1:4" x14ac:dyDescent="0.3">
      <c r="A1383" s="26">
        <v>44155</v>
      </c>
      <c r="B1383" s="27">
        <v>268.22848510742188</v>
      </c>
      <c r="C1383" s="27">
        <f t="shared" si="45"/>
        <v>5.5918391736620796</v>
      </c>
      <c r="D1383" s="29">
        <f t="shared" si="46"/>
        <v>-2.1310374234393414E-3</v>
      </c>
    </row>
    <row r="1384" spans="1:4" x14ac:dyDescent="0.3">
      <c r="A1384" s="26">
        <v>44158</v>
      </c>
      <c r="B1384" s="27">
        <v>266.96533203125</v>
      </c>
      <c r="C1384" s="27">
        <f t="shared" si="45"/>
        <v>5.5871188073903841</v>
      </c>
      <c r="D1384" s="29">
        <f t="shared" si="46"/>
        <v>-8.4415272419291476E-4</v>
      </c>
    </row>
    <row r="1385" spans="1:4" x14ac:dyDescent="0.3">
      <c r="A1385" s="26">
        <v>44159</v>
      </c>
      <c r="B1385" s="27">
        <v>275.40908813476563</v>
      </c>
      <c r="C1385" s="27">
        <f t="shared" si="45"/>
        <v>5.6182575855132031</v>
      </c>
      <c r="D1385" s="29">
        <f t="shared" si="46"/>
        <v>5.5733159068731553E-3</v>
      </c>
    </row>
    <row r="1386" spans="1:4" x14ac:dyDescent="0.3">
      <c r="A1386" s="26">
        <v>44160</v>
      </c>
      <c r="B1386" s="27">
        <v>274.08633422851563</v>
      </c>
      <c r="C1386" s="27">
        <f t="shared" si="45"/>
        <v>5.6134431451833766</v>
      </c>
      <c r="D1386" s="29">
        <f t="shared" si="46"/>
        <v>-8.5692766067557713E-4</v>
      </c>
    </row>
    <row r="1387" spans="1:4" x14ac:dyDescent="0.3">
      <c r="A1387" s="26">
        <v>44162</v>
      </c>
      <c r="B1387" s="27">
        <v>276.294189453125</v>
      </c>
      <c r="C1387" s="27">
        <f t="shared" si="45"/>
        <v>5.6214662018607013</v>
      </c>
      <c r="D1387" s="29">
        <f t="shared" si="46"/>
        <v>1.4292576712402472E-3</v>
      </c>
    </row>
    <row r="1388" spans="1:4" x14ac:dyDescent="0.3">
      <c r="A1388" s="26">
        <v>44165</v>
      </c>
      <c r="B1388" s="27">
        <v>275.45880126953119</v>
      </c>
      <c r="C1388" s="27">
        <f t="shared" si="45"/>
        <v>5.618438075739105</v>
      </c>
      <c r="D1388" s="29">
        <f t="shared" si="46"/>
        <v>-5.3867194302337218E-4</v>
      </c>
    </row>
    <row r="1389" spans="1:4" x14ac:dyDescent="0.3">
      <c r="A1389" s="26">
        <v>44166</v>
      </c>
      <c r="B1389" s="27">
        <v>284.98654174804688</v>
      </c>
      <c r="C1389" s="27">
        <f t="shared" si="45"/>
        <v>5.6524419572169817</v>
      </c>
      <c r="D1389" s="29">
        <f t="shared" si="46"/>
        <v>6.0521947593776826E-3</v>
      </c>
    </row>
    <row r="1390" spans="1:4" x14ac:dyDescent="0.3">
      <c r="A1390" s="26">
        <v>44167</v>
      </c>
      <c r="B1390" s="27">
        <v>285.95123291015619</v>
      </c>
      <c r="C1390" s="27">
        <f t="shared" si="45"/>
        <v>5.655821281980483</v>
      </c>
      <c r="D1390" s="29">
        <f t="shared" si="46"/>
        <v>5.9785218301744436E-4</v>
      </c>
    </row>
    <row r="1391" spans="1:4" x14ac:dyDescent="0.3">
      <c r="A1391" s="26">
        <v>44168</v>
      </c>
      <c r="B1391" s="27">
        <v>280.31219482421881</v>
      </c>
      <c r="C1391" s="27">
        <f t="shared" si="45"/>
        <v>5.6359039635540835</v>
      </c>
      <c r="D1391" s="29">
        <f t="shared" si="46"/>
        <v>-3.5215607837284502E-3</v>
      </c>
    </row>
    <row r="1392" spans="1:4" x14ac:dyDescent="0.3">
      <c r="A1392" s="26">
        <v>44169</v>
      </c>
      <c r="B1392" s="27">
        <v>278.17388916015619</v>
      </c>
      <c r="C1392" s="27">
        <f t="shared" si="45"/>
        <v>5.6282464187227905</v>
      </c>
      <c r="D1392" s="29">
        <f t="shared" si="46"/>
        <v>-1.3587074728050874E-3</v>
      </c>
    </row>
    <row r="1393" spans="1:4" x14ac:dyDescent="0.3">
      <c r="A1393" s="26">
        <v>44172</v>
      </c>
      <c r="B1393" s="27">
        <v>284.02182006835938</v>
      </c>
      <c r="C1393" s="27">
        <f t="shared" si="45"/>
        <v>5.6490510664364564</v>
      </c>
      <c r="D1393" s="29">
        <f t="shared" si="46"/>
        <v>3.6964706528230806E-3</v>
      </c>
    </row>
    <row r="1394" spans="1:4" x14ac:dyDescent="0.3">
      <c r="A1394" s="26">
        <v>44173</v>
      </c>
      <c r="B1394" s="27">
        <v>281.85372924804688</v>
      </c>
      <c r="C1394" s="27">
        <f t="shared" si="45"/>
        <v>5.6413882457618421</v>
      </c>
      <c r="D1394" s="29">
        <f t="shared" si="46"/>
        <v>-1.356479271384603E-3</v>
      </c>
    </row>
    <row r="1395" spans="1:4" x14ac:dyDescent="0.3">
      <c r="A1395" s="26">
        <v>44174</v>
      </c>
      <c r="B1395" s="27">
        <v>276.40362548828119</v>
      </c>
      <c r="C1395" s="27">
        <f t="shared" si="45"/>
        <v>5.6218622086247159</v>
      </c>
      <c r="D1395" s="29">
        <f t="shared" si="46"/>
        <v>-3.4612113697005675E-3</v>
      </c>
    </row>
    <row r="1396" spans="1:4" x14ac:dyDescent="0.3">
      <c r="A1396" s="26">
        <v>44175</v>
      </c>
      <c r="B1396" s="27">
        <v>275.60797119140619</v>
      </c>
      <c r="C1396" s="27">
        <f t="shared" si="45"/>
        <v>5.6189794617669815</v>
      </c>
      <c r="D1396" s="29">
        <f t="shared" si="46"/>
        <v>-5.1277437097474454E-4</v>
      </c>
    </row>
    <row r="1397" spans="1:4" x14ac:dyDescent="0.3">
      <c r="A1397" s="26">
        <v>44176</v>
      </c>
      <c r="B1397" s="27">
        <v>272.05743408203119</v>
      </c>
      <c r="C1397" s="27">
        <f t="shared" si="45"/>
        <v>5.6060131987193289</v>
      </c>
      <c r="D1397" s="29">
        <f t="shared" si="46"/>
        <v>-2.3075832784010819E-3</v>
      </c>
    </row>
    <row r="1398" spans="1:4" x14ac:dyDescent="0.3">
      <c r="A1398" s="26">
        <v>44179</v>
      </c>
      <c r="B1398" s="27">
        <v>272.69400024414063</v>
      </c>
      <c r="C1398" s="27">
        <f t="shared" si="45"/>
        <v>5.6083502883045622</v>
      </c>
      <c r="D1398" s="29">
        <f t="shared" si="46"/>
        <v>4.1688977574416697E-4</v>
      </c>
    </row>
    <row r="1399" spans="1:4" x14ac:dyDescent="0.3">
      <c r="A1399" s="26">
        <v>44180</v>
      </c>
      <c r="B1399" s="27">
        <v>274.04656982421881</v>
      </c>
      <c r="C1399" s="27">
        <f t="shared" si="45"/>
        <v>5.6132980548081317</v>
      </c>
      <c r="D1399" s="29">
        <f t="shared" si="46"/>
        <v>8.8221424290968464E-4</v>
      </c>
    </row>
    <row r="1400" spans="1:4" x14ac:dyDescent="0.3">
      <c r="A1400" s="26">
        <v>44181</v>
      </c>
      <c r="B1400" s="27">
        <v>274.16595458984381</v>
      </c>
      <c r="C1400" s="27">
        <f t="shared" si="45"/>
        <v>5.6137335967273527</v>
      </c>
      <c r="D1400" s="29">
        <f t="shared" si="46"/>
        <v>7.7591090829054465E-5</v>
      </c>
    </row>
    <row r="1401" spans="1:4" x14ac:dyDescent="0.3">
      <c r="A1401" s="26">
        <v>44182</v>
      </c>
      <c r="B1401" s="27">
        <v>272.982421875</v>
      </c>
      <c r="C1401" s="27">
        <f t="shared" si="45"/>
        <v>5.6094074043756521</v>
      </c>
      <c r="D1401" s="29">
        <f t="shared" si="46"/>
        <v>-7.7064439862672973E-4</v>
      </c>
    </row>
    <row r="1402" spans="1:4" x14ac:dyDescent="0.3">
      <c r="A1402" s="26">
        <v>44183</v>
      </c>
      <c r="B1402" s="27">
        <v>274.89190673828119</v>
      </c>
      <c r="C1402" s="27">
        <f t="shared" si="45"/>
        <v>5.6163779539894723</v>
      </c>
      <c r="D1402" s="29">
        <f t="shared" si="46"/>
        <v>1.2426534767973063E-3</v>
      </c>
    </row>
    <row r="1403" spans="1:4" x14ac:dyDescent="0.3">
      <c r="A1403" s="26">
        <v>44186</v>
      </c>
      <c r="B1403" s="27">
        <v>271.30166625976563</v>
      </c>
      <c r="C1403" s="27">
        <f t="shared" si="45"/>
        <v>5.6032313614070492</v>
      </c>
      <c r="D1403" s="29">
        <f t="shared" si="46"/>
        <v>-2.3407599506519716E-3</v>
      </c>
    </row>
    <row r="1404" spans="1:4" x14ac:dyDescent="0.3">
      <c r="A1404" s="26">
        <v>44187</v>
      </c>
      <c r="B1404" s="27">
        <v>265.6326904296875</v>
      </c>
      <c r="C1404" s="27">
        <f t="shared" si="45"/>
        <v>5.5821144914654566</v>
      </c>
      <c r="D1404" s="29">
        <f t="shared" si="46"/>
        <v>-3.7686949867959951E-3</v>
      </c>
    </row>
    <row r="1405" spans="1:4" x14ac:dyDescent="0.3">
      <c r="A1405" s="26">
        <v>44188</v>
      </c>
      <c r="B1405" s="27">
        <v>266.64712524414063</v>
      </c>
      <c r="C1405" s="27">
        <f t="shared" si="45"/>
        <v>5.5859261559802098</v>
      </c>
      <c r="D1405" s="29">
        <f t="shared" si="46"/>
        <v>6.8283524470547086E-4</v>
      </c>
    </row>
    <row r="1406" spans="1:4" x14ac:dyDescent="0.3">
      <c r="A1406" s="26">
        <v>44189</v>
      </c>
      <c r="B1406" s="27">
        <v>265.9410400390625</v>
      </c>
      <c r="C1406" s="27">
        <f t="shared" si="45"/>
        <v>5.5832746302243361</v>
      </c>
      <c r="D1406" s="29">
        <f t="shared" si="46"/>
        <v>-4.7467970070369514E-4</v>
      </c>
    </row>
    <row r="1407" spans="1:4" x14ac:dyDescent="0.3">
      <c r="A1407" s="26">
        <v>44193</v>
      </c>
      <c r="B1407" s="27">
        <v>275.48861694335938</v>
      </c>
      <c r="C1407" s="27">
        <f t="shared" si="45"/>
        <v>5.6185463099294175</v>
      </c>
      <c r="D1407" s="29">
        <f t="shared" si="46"/>
        <v>6.3173821889652704E-3</v>
      </c>
    </row>
    <row r="1408" spans="1:4" x14ac:dyDescent="0.3">
      <c r="A1408" s="26">
        <v>44194</v>
      </c>
      <c r="B1408" s="27">
        <v>275.26980590820313</v>
      </c>
      <c r="C1408" s="27">
        <f t="shared" si="45"/>
        <v>5.6177517290838415</v>
      </c>
      <c r="D1408" s="29">
        <f t="shared" si="46"/>
        <v>-1.4142107259518255E-4</v>
      </c>
    </row>
    <row r="1409" spans="1:4" x14ac:dyDescent="0.3">
      <c r="A1409" s="26">
        <v>44195</v>
      </c>
      <c r="B1409" s="27">
        <v>270.38662719726563</v>
      </c>
      <c r="C1409" s="27">
        <f t="shared" si="45"/>
        <v>5.5998528873144249</v>
      </c>
      <c r="D1409" s="29">
        <f t="shared" si="46"/>
        <v>-3.1861218922779599E-3</v>
      </c>
    </row>
    <row r="1410" spans="1:4" x14ac:dyDescent="0.3">
      <c r="A1410" s="26">
        <v>44196</v>
      </c>
      <c r="B1410" s="27">
        <v>271.66958618164063</v>
      </c>
      <c r="C1410" s="27">
        <f t="shared" si="45"/>
        <v>5.6045865711958935</v>
      </c>
      <c r="D1410" s="29">
        <f t="shared" si="46"/>
        <v>8.4532289985550513E-4</v>
      </c>
    </row>
    <row r="1411" spans="1:4" x14ac:dyDescent="0.3">
      <c r="A1411" s="26">
        <v>44200</v>
      </c>
      <c r="B1411" s="27">
        <v>267.47262573242188</v>
      </c>
      <c r="C1411" s="27">
        <f t="shared" ref="C1411:C1474" si="47">LN(B1411)</f>
        <v>5.5890172273890375</v>
      </c>
      <c r="D1411" s="29">
        <f t="shared" si="46"/>
        <v>-2.7779647274739361E-3</v>
      </c>
    </row>
    <row r="1412" spans="1:4" x14ac:dyDescent="0.3">
      <c r="A1412" s="26">
        <v>44201</v>
      </c>
      <c r="B1412" s="27">
        <v>269.49151611328119</v>
      </c>
      <c r="C1412" s="27">
        <f t="shared" si="47"/>
        <v>5.5965369097544011</v>
      </c>
      <c r="D1412" s="29">
        <f t="shared" ref="D1412:D1475" si="48">C1412/C1411-1</f>
        <v>1.3454391102094565E-3</v>
      </c>
    </row>
    <row r="1413" spans="1:4" x14ac:dyDescent="0.3">
      <c r="A1413" s="26">
        <v>44202</v>
      </c>
      <c r="B1413" s="27">
        <v>261.873291015625</v>
      </c>
      <c r="C1413" s="27">
        <f t="shared" si="47"/>
        <v>5.5678607647004545</v>
      </c>
      <c r="D1413" s="29">
        <f t="shared" si="48"/>
        <v>-5.1239088594172699E-3</v>
      </c>
    </row>
    <row r="1414" spans="1:4" x14ac:dyDescent="0.3">
      <c r="A1414" s="26">
        <v>44203</v>
      </c>
      <c r="B1414" s="27">
        <v>267.273681640625</v>
      </c>
      <c r="C1414" s="27">
        <f t="shared" si="47"/>
        <v>5.5882731582922247</v>
      </c>
      <c r="D1414" s="29">
        <f t="shared" si="48"/>
        <v>3.6661106400472931E-3</v>
      </c>
    </row>
    <row r="1415" spans="1:4" x14ac:dyDescent="0.3">
      <c r="A1415" s="26">
        <v>44204</v>
      </c>
      <c r="B1415" s="27">
        <v>266.11007690429688</v>
      </c>
      <c r="C1415" s="27">
        <f t="shared" si="47"/>
        <v>5.5839100461290823</v>
      </c>
      <c r="D1415" s="29">
        <f t="shared" si="48"/>
        <v>-7.8076214951450229E-4</v>
      </c>
    </row>
    <row r="1416" spans="1:4" x14ac:dyDescent="0.3">
      <c r="A1416" s="26">
        <v>44207</v>
      </c>
      <c r="B1416" s="27">
        <v>255.43864440917969</v>
      </c>
      <c r="C1416" s="27">
        <f t="shared" si="47"/>
        <v>5.5429822415069916</v>
      </c>
      <c r="D1416" s="29">
        <f t="shared" si="48"/>
        <v>-7.3295959791584986E-3</v>
      </c>
    </row>
    <row r="1417" spans="1:4" x14ac:dyDescent="0.3">
      <c r="A1417" s="26">
        <v>44208</v>
      </c>
      <c r="B1417" s="27">
        <v>249.7200012207031</v>
      </c>
      <c r="C1417" s="27">
        <f t="shared" si="47"/>
        <v>5.520340295081831</v>
      </c>
      <c r="D1417" s="29">
        <f t="shared" si="48"/>
        <v>-4.0847950505078501E-3</v>
      </c>
    </row>
    <row r="1418" spans="1:4" x14ac:dyDescent="0.3">
      <c r="A1418" s="26">
        <v>44209</v>
      </c>
      <c r="B1418" s="27">
        <v>250.26701354980469</v>
      </c>
      <c r="C1418" s="27">
        <f t="shared" si="47"/>
        <v>5.5225284020973779</v>
      </c>
      <c r="D1418" s="29">
        <f t="shared" si="48"/>
        <v>3.9637176307705246E-4</v>
      </c>
    </row>
    <row r="1419" spans="1:4" x14ac:dyDescent="0.3">
      <c r="A1419" s="26">
        <v>44210</v>
      </c>
      <c r="B1419" s="27">
        <v>244.2997741699219</v>
      </c>
      <c r="C1419" s="27">
        <f t="shared" si="47"/>
        <v>5.4983960538667134</v>
      </c>
      <c r="D1419" s="29">
        <f t="shared" si="48"/>
        <v>-4.3698006553483104E-3</v>
      </c>
    </row>
    <row r="1420" spans="1:4" x14ac:dyDescent="0.3">
      <c r="A1420" s="26">
        <v>44211</v>
      </c>
      <c r="B1420" s="27">
        <v>249.9885559082031</v>
      </c>
      <c r="C1420" s="27">
        <f t="shared" si="47"/>
        <v>5.5214151404472886</v>
      </c>
      <c r="D1420" s="29">
        <f t="shared" si="48"/>
        <v>4.1865093665609532E-3</v>
      </c>
    </row>
    <row r="1421" spans="1:4" x14ac:dyDescent="0.3">
      <c r="A1421" s="26">
        <v>44215</v>
      </c>
      <c r="B1421" s="27">
        <v>259.67544555664063</v>
      </c>
      <c r="C1421" s="27">
        <f t="shared" si="47"/>
        <v>5.5594325649365706</v>
      </c>
      <c r="D1421" s="29">
        <f t="shared" si="48"/>
        <v>6.8854493861154609E-3</v>
      </c>
    </row>
    <row r="1422" spans="1:4" x14ac:dyDescent="0.3">
      <c r="A1422" s="26">
        <v>44216</v>
      </c>
      <c r="B1422" s="27">
        <v>266.02059936523438</v>
      </c>
      <c r="C1422" s="27">
        <f t="shared" si="47"/>
        <v>5.5835737470059676</v>
      </c>
      <c r="D1422" s="29">
        <f t="shared" si="48"/>
        <v>4.3423823901842518E-3</v>
      </c>
    </row>
    <row r="1423" spans="1:4" x14ac:dyDescent="0.3">
      <c r="A1423" s="26">
        <v>44217</v>
      </c>
      <c r="B1423" s="27">
        <v>271.38113403320313</v>
      </c>
      <c r="C1423" s="27">
        <f t="shared" si="47"/>
        <v>5.6035242314739193</v>
      </c>
      <c r="D1423" s="29">
        <f t="shared" si="48"/>
        <v>3.5730672454445944E-3</v>
      </c>
    </row>
    <row r="1424" spans="1:4" x14ac:dyDescent="0.3">
      <c r="A1424" s="26">
        <v>44218</v>
      </c>
      <c r="B1424" s="27">
        <v>273.00225830078119</v>
      </c>
      <c r="C1424" s="27">
        <f t="shared" si="47"/>
        <v>5.6094800673147791</v>
      </c>
      <c r="D1424" s="29">
        <f t="shared" si="48"/>
        <v>1.0628732195725465E-3</v>
      </c>
    </row>
    <row r="1425" spans="1:4" x14ac:dyDescent="0.3">
      <c r="A1425" s="26">
        <v>44221</v>
      </c>
      <c r="B1425" s="27">
        <v>276.49319458007813</v>
      </c>
      <c r="C1425" s="27">
        <f t="shared" si="47"/>
        <v>5.6221862079292135</v>
      </c>
      <c r="D1425" s="29">
        <f t="shared" si="48"/>
        <v>2.2651191308211693E-3</v>
      </c>
    </row>
    <row r="1426" spans="1:4" x14ac:dyDescent="0.3">
      <c r="A1426" s="26">
        <v>44222</v>
      </c>
      <c r="B1426" s="27">
        <v>280.51107788085938</v>
      </c>
      <c r="C1426" s="27">
        <f t="shared" si="47"/>
        <v>5.6366132175193071</v>
      </c>
      <c r="D1426" s="29">
        <f t="shared" si="48"/>
        <v>2.5660853370075287E-3</v>
      </c>
    </row>
    <row r="1427" spans="1:4" x14ac:dyDescent="0.3">
      <c r="A1427" s="26">
        <v>44223</v>
      </c>
      <c r="B1427" s="27">
        <v>270.65518188476563</v>
      </c>
      <c r="C1427" s="27">
        <f t="shared" si="47"/>
        <v>5.6008456191331026</v>
      </c>
      <c r="D1427" s="29">
        <f t="shared" si="48"/>
        <v>-6.3455832440363347E-3</v>
      </c>
    </row>
    <row r="1428" spans="1:4" x14ac:dyDescent="0.3">
      <c r="A1428" s="26">
        <v>44224</v>
      </c>
      <c r="B1428" s="27">
        <v>263.55410766601563</v>
      </c>
      <c r="C1428" s="27">
        <f t="shared" si="47"/>
        <v>5.5742586890876131</v>
      </c>
      <c r="D1428" s="29">
        <f t="shared" si="48"/>
        <v>-4.7469492739927732E-3</v>
      </c>
    </row>
    <row r="1429" spans="1:4" x14ac:dyDescent="0.3">
      <c r="A1429" s="26">
        <v>44225</v>
      </c>
      <c r="B1429" s="27">
        <v>256.92050170898438</v>
      </c>
      <c r="C1429" s="27">
        <f t="shared" si="47"/>
        <v>5.5487667051705918</v>
      </c>
      <c r="D1429" s="29">
        <f t="shared" si="48"/>
        <v>-4.5731612648198805E-3</v>
      </c>
    </row>
    <row r="1430" spans="1:4" x14ac:dyDescent="0.3">
      <c r="A1430" s="26">
        <v>44228</v>
      </c>
      <c r="B1430" s="27">
        <v>260.58041381835938</v>
      </c>
      <c r="C1430" s="27">
        <f t="shared" si="47"/>
        <v>5.562911503839989</v>
      </c>
      <c r="D1430" s="29">
        <f t="shared" si="48"/>
        <v>2.5491788393656734E-3</v>
      </c>
    </row>
    <row r="1431" spans="1:4" x14ac:dyDescent="0.3">
      <c r="A1431" s="26">
        <v>44229</v>
      </c>
      <c r="B1431" s="27">
        <v>265.62274169921881</v>
      </c>
      <c r="C1431" s="27">
        <f t="shared" si="47"/>
        <v>5.5820770378043054</v>
      </c>
      <c r="D1431" s="29">
        <f t="shared" si="48"/>
        <v>3.445234379710449E-3</v>
      </c>
    </row>
    <row r="1432" spans="1:4" x14ac:dyDescent="0.3">
      <c r="A1432" s="26">
        <v>44230</v>
      </c>
      <c r="B1432" s="27">
        <v>265.19509887695313</v>
      </c>
      <c r="C1432" s="27">
        <f t="shared" si="47"/>
        <v>5.5804657772847994</v>
      </c>
      <c r="D1432" s="29">
        <f t="shared" si="48"/>
        <v>-2.8864892200408665E-4</v>
      </c>
    </row>
    <row r="1433" spans="1:4" x14ac:dyDescent="0.3">
      <c r="A1433" s="26">
        <v>44231</v>
      </c>
      <c r="B1433" s="27">
        <v>265.03598022460938</v>
      </c>
      <c r="C1433" s="27">
        <f t="shared" si="47"/>
        <v>5.5798655912021964</v>
      </c>
      <c r="D1433" s="29">
        <f t="shared" si="48"/>
        <v>-1.0755125227113194E-4</v>
      </c>
    </row>
    <row r="1434" spans="1:4" x14ac:dyDescent="0.3">
      <c r="A1434" s="26">
        <v>44232</v>
      </c>
      <c r="B1434" s="27">
        <v>266.63723754882813</v>
      </c>
      <c r="C1434" s="27">
        <f t="shared" si="47"/>
        <v>5.5858890737178992</v>
      </c>
      <c r="D1434" s="29">
        <f t="shared" si="48"/>
        <v>1.0795031559900359E-3</v>
      </c>
    </row>
    <row r="1435" spans="1:4" x14ac:dyDescent="0.3">
      <c r="A1435" s="26">
        <v>44235</v>
      </c>
      <c r="B1435" s="27">
        <v>265.12545776367188</v>
      </c>
      <c r="C1435" s="27">
        <f t="shared" si="47"/>
        <v>5.580203139479007</v>
      </c>
      <c r="D1435" s="29">
        <f t="shared" si="48"/>
        <v>-1.0179103386862565E-3</v>
      </c>
    </row>
    <row r="1436" spans="1:4" x14ac:dyDescent="0.3">
      <c r="A1436" s="26">
        <v>44236</v>
      </c>
      <c r="B1436" s="27">
        <v>267.97988891601563</v>
      </c>
      <c r="C1436" s="27">
        <f t="shared" si="47"/>
        <v>5.5909119363369628</v>
      </c>
      <c r="D1436" s="29">
        <f t="shared" si="48"/>
        <v>1.9190693582806784E-3</v>
      </c>
    </row>
    <row r="1437" spans="1:4" x14ac:dyDescent="0.3">
      <c r="A1437" s="26">
        <v>44237</v>
      </c>
      <c r="B1437" s="27">
        <v>270.38662719726563</v>
      </c>
      <c r="C1437" s="27">
        <f t="shared" si="47"/>
        <v>5.5998528873144249</v>
      </c>
      <c r="D1437" s="29">
        <f t="shared" si="48"/>
        <v>1.5991936698827036E-3</v>
      </c>
    </row>
    <row r="1438" spans="1:4" x14ac:dyDescent="0.3">
      <c r="A1438" s="26">
        <v>44238</v>
      </c>
      <c r="B1438" s="27">
        <v>268.91470336914063</v>
      </c>
      <c r="C1438" s="27">
        <f t="shared" si="47"/>
        <v>5.5943942414717975</v>
      </c>
      <c r="D1438" s="29">
        <f t="shared" si="48"/>
        <v>-9.7478379387305747E-4</v>
      </c>
    </row>
    <row r="1439" spans="1:4" x14ac:dyDescent="0.3">
      <c r="A1439" s="26">
        <v>44239</v>
      </c>
      <c r="B1439" s="27">
        <v>269.02410888671881</v>
      </c>
      <c r="C1439" s="27">
        <f t="shared" si="47"/>
        <v>5.5948009997000341</v>
      </c>
      <c r="D1439" s="29">
        <f t="shared" si="48"/>
        <v>7.2708180846703385E-5</v>
      </c>
    </row>
    <row r="1440" spans="1:4" x14ac:dyDescent="0.3">
      <c r="A1440" s="26">
        <v>44243</v>
      </c>
      <c r="B1440" s="27">
        <v>272.47515869140619</v>
      </c>
      <c r="C1440" s="27">
        <f t="shared" si="47"/>
        <v>5.6075474491824222</v>
      </c>
      <c r="D1440" s="29">
        <f t="shared" si="48"/>
        <v>2.2782668200480582E-3</v>
      </c>
    </row>
    <row r="1441" spans="1:4" x14ac:dyDescent="0.3">
      <c r="A1441" s="26">
        <v>44244</v>
      </c>
      <c r="B1441" s="27">
        <v>272.07736206054688</v>
      </c>
      <c r="C1441" s="27">
        <f t="shared" si="47"/>
        <v>5.6060864451967305</v>
      </c>
      <c r="D1441" s="29">
        <f t="shared" si="48"/>
        <v>-2.6054242053796806E-4</v>
      </c>
    </row>
    <row r="1442" spans="1:4" x14ac:dyDescent="0.3">
      <c r="A1442" s="26">
        <v>44245</v>
      </c>
      <c r="B1442" s="27">
        <v>267.92019653320313</v>
      </c>
      <c r="C1442" s="27">
        <f t="shared" si="47"/>
        <v>5.5906891620374983</v>
      </c>
      <c r="D1442" s="29">
        <f t="shared" si="48"/>
        <v>-2.7465297422276658E-3</v>
      </c>
    </row>
    <row r="1443" spans="1:4" x14ac:dyDescent="0.3">
      <c r="A1443" s="26">
        <v>44246</v>
      </c>
      <c r="B1443" s="27">
        <v>260.13287353515619</v>
      </c>
      <c r="C1443" s="27">
        <f t="shared" si="47"/>
        <v>5.5611925525311916</v>
      </c>
      <c r="D1443" s="29">
        <f t="shared" si="48"/>
        <v>-5.2760238767337597E-3</v>
      </c>
    </row>
    <row r="1444" spans="1:4" x14ac:dyDescent="0.3">
      <c r="A1444" s="26">
        <v>44249</v>
      </c>
      <c r="B1444" s="27">
        <v>258.90957641601563</v>
      </c>
      <c r="C1444" s="27">
        <f t="shared" si="47"/>
        <v>5.5564788749340455</v>
      </c>
      <c r="D1444" s="29">
        <f t="shared" si="48"/>
        <v>-8.4760194016308965E-4</v>
      </c>
    </row>
    <row r="1445" spans="1:4" x14ac:dyDescent="0.3">
      <c r="A1445" s="26">
        <v>44250</v>
      </c>
      <c r="B1445" s="27">
        <v>264.409423828125</v>
      </c>
      <c r="C1445" s="27">
        <f t="shared" si="47"/>
        <v>5.5774987496575061</v>
      </c>
      <c r="D1445" s="29">
        <f t="shared" si="48"/>
        <v>3.7829487336455969E-3</v>
      </c>
    </row>
    <row r="1446" spans="1:4" x14ac:dyDescent="0.3">
      <c r="A1446" s="26">
        <v>44251</v>
      </c>
      <c r="B1446" s="27">
        <v>262.86788940429688</v>
      </c>
      <c r="C1446" s="27">
        <f t="shared" si="47"/>
        <v>5.5716515843153092</v>
      </c>
      <c r="D1446" s="29">
        <f t="shared" si="48"/>
        <v>-1.04834901891393E-3</v>
      </c>
    </row>
    <row r="1447" spans="1:4" x14ac:dyDescent="0.3">
      <c r="A1447" s="26">
        <v>44252</v>
      </c>
      <c r="B1447" s="27">
        <v>253.30036926269531</v>
      </c>
      <c r="C1447" s="27">
        <f t="shared" si="47"/>
        <v>5.5345760148142862</v>
      </c>
      <c r="D1447" s="29">
        <f t="shared" si="48"/>
        <v>-6.6543230386828522E-3</v>
      </c>
    </row>
    <row r="1448" spans="1:4" x14ac:dyDescent="0.3">
      <c r="A1448" s="26">
        <v>44253</v>
      </c>
      <c r="B1448" s="27">
        <v>256.21435546875</v>
      </c>
      <c r="C1448" s="27">
        <f t="shared" si="47"/>
        <v>5.5460144201674746</v>
      </c>
      <c r="D1448" s="29">
        <f t="shared" si="48"/>
        <v>2.0667175448618735E-3</v>
      </c>
    </row>
    <row r="1449" spans="1:4" x14ac:dyDescent="0.3">
      <c r="A1449" s="26">
        <v>44256</v>
      </c>
      <c r="B1449" s="27">
        <v>263.464599609375</v>
      </c>
      <c r="C1449" s="27">
        <f t="shared" si="47"/>
        <v>5.5739190121225812</v>
      </c>
      <c r="D1449" s="29">
        <f t="shared" si="48"/>
        <v>5.0314676163902838E-3</v>
      </c>
    </row>
    <row r="1450" spans="1:4" x14ac:dyDescent="0.3">
      <c r="A1450" s="26">
        <v>44257</v>
      </c>
      <c r="B1450" s="27">
        <v>257.58688354492188</v>
      </c>
      <c r="C1450" s="27">
        <f t="shared" si="47"/>
        <v>5.5513570750181618</v>
      </c>
      <c r="D1450" s="29">
        <f t="shared" si="48"/>
        <v>-4.047769093047493E-3</v>
      </c>
    </row>
    <row r="1451" spans="1:4" x14ac:dyDescent="0.3">
      <c r="A1451" s="26">
        <v>44258</v>
      </c>
      <c r="B1451" s="27">
        <v>254.0164794921875</v>
      </c>
      <c r="C1451" s="27">
        <f t="shared" si="47"/>
        <v>5.5373991448044295</v>
      </c>
      <c r="D1451" s="29">
        <f t="shared" si="48"/>
        <v>-2.5143275824472955E-3</v>
      </c>
    </row>
    <row r="1452" spans="1:4" x14ac:dyDescent="0.3">
      <c r="A1452" s="26">
        <v>44259</v>
      </c>
      <c r="B1452" s="27">
        <v>256.23434448242188</v>
      </c>
      <c r="C1452" s="27">
        <f t="shared" si="47"/>
        <v>5.5460924338835165</v>
      </c>
      <c r="D1452" s="29">
        <f t="shared" si="48"/>
        <v>1.5699227835586083E-3</v>
      </c>
    </row>
    <row r="1453" spans="1:4" x14ac:dyDescent="0.3">
      <c r="A1453" s="26">
        <v>44260</v>
      </c>
      <c r="B1453" s="27">
        <v>262.83807373046881</v>
      </c>
      <c r="C1453" s="27">
        <f t="shared" si="47"/>
        <v>5.5715381533255517</v>
      </c>
      <c r="D1453" s="29">
        <f t="shared" si="48"/>
        <v>4.5880445999377795E-3</v>
      </c>
    </row>
    <row r="1454" spans="1:4" x14ac:dyDescent="0.3">
      <c r="A1454" s="26">
        <v>44263</v>
      </c>
      <c r="B1454" s="27">
        <v>253.9169921875</v>
      </c>
      <c r="C1454" s="27">
        <f t="shared" si="47"/>
        <v>5.5370074111955745</v>
      </c>
      <c r="D1454" s="29">
        <f t="shared" si="48"/>
        <v>-6.1977036106926064E-3</v>
      </c>
    </row>
    <row r="1455" spans="1:4" x14ac:dyDescent="0.3">
      <c r="A1455" s="26">
        <v>44264</v>
      </c>
      <c r="B1455" s="27">
        <v>264.29006958007813</v>
      </c>
      <c r="C1455" s="27">
        <f t="shared" si="47"/>
        <v>5.577047248373459</v>
      </c>
      <c r="D1455" s="29">
        <f t="shared" si="48"/>
        <v>7.2313136328707728E-3</v>
      </c>
    </row>
    <row r="1456" spans="1:4" x14ac:dyDescent="0.3">
      <c r="A1456" s="26">
        <v>44265</v>
      </c>
      <c r="B1456" s="27">
        <v>263.45465087890619</v>
      </c>
      <c r="C1456" s="27">
        <f t="shared" si="47"/>
        <v>5.573881250243657</v>
      </c>
      <c r="D1456" s="29">
        <f t="shared" si="48"/>
        <v>-5.6768357677539072E-4</v>
      </c>
    </row>
    <row r="1457" spans="1:4" x14ac:dyDescent="0.3">
      <c r="A1457" s="26">
        <v>44266</v>
      </c>
      <c r="B1457" s="27">
        <v>272.38568115234381</v>
      </c>
      <c r="C1457" s="27">
        <f t="shared" si="47"/>
        <v>5.607219007373712</v>
      </c>
      <c r="D1457" s="29">
        <f t="shared" si="48"/>
        <v>5.9810669860607124E-3</v>
      </c>
    </row>
    <row r="1458" spans="1:4" x14ac:dyDescent="0.3">
      <c r="A1458" s="26">
        <v>44267</v>
      </c>
      <c r="B1458" s="27">
        <v>266.93551635742188</v>
      </c>
      <c r="C1458" s="27">
        <f t="shared" si="47"/>
        <v>5.5870071174616296</v>
      </c>
      <c r="D1458" s="29">
        <f t="shared" si="48"/>
        <v>-3.6046193104822821E-3</v>
      </c>
    </row>
    <row r="1459" spans="1:4" x14ac:dyDescent="0.3">
      <c r="A1459" s="26">
        <v>44270</v>
      </c>
      <c r="B1459" s="27">
        <v>272.25637817382813</v>
      </c>
      <c r="C1459" s="27">
        <f t="shared" si="47"/>
        <v>5.6067441891743792</v>
      </c>
      <c r="D1459" s="29">
        <f t="shared" si="48"/>
        <v>3.5326734507037383E-3</v>
      </c>
    </row>
    <row r="1460" spans="1:4" x14ac:dyDescent="0.3">
      <c r="A1460" s="26">
        <v>44271</v>
      </c>
      <c r="B1460" s="27">
        <v>277.75619506835938</v>
      </c>
      <c r="C1460" s="27">
        <f t="shared" si="47"/>
        <v>5.6267437327475394</v>
      </c>
      <c r="D1460" s="29">
        <f t="shared" si="48"/>
        <v>3.5670511973375785E-3</v>
      </c>
    </row>
    <row r="1461" spans="1:4" x14ac:dyDescent="0.3">
      <c r="A1461" s="26">
        <v>44272</v>
      </c>
      <c r="B1461" s="27">
        <v>282.46041870117188</v>
      </c>
      <c r="C1461" s="27">
        <f t="shared" si="47"/>
        <v>5.6435384299777498</v>
      </c>
      <c r="D1461" s="29">
        <f t="shared" si="48"/>
        <v>2.9847986736033505E-3</v>
      </c>
    </row>
    <row r="1462" spans="1:4" x14ac:dyDescent="0.3">
      <c r="A1462" s="26">
        <v>44273</v>
      </c>
      <c r="B1462" s="27">
        <v>277.09982299804688</v>
      </c>
      <c r="C1462" s="27">
        <f t="shared" si="47"/>
        <v>5.6243778131031092</v>
      </c>
      <c r="D1462" s="29">
        <f t="shared" si="48"/>
        <v>-3.3951424469552682E-3</v>
      </c>
    </row>
    <row r="1463" spans="1:4" x14ac:dyDescent="0.3">
      <c r="A1463" s="26">
        <v>44274</v>
      </c>
      <c r="B1463" s="27">
        <v>288.527099609375</v>
      </c>
      <c r="C1463" s="27">
        <f t="shared" si="47"/>
        <v>5.6647890143248745</v>
      </c>
      <c r="D1463" s="29">
        <f t="shared" si="48"/>
        <v>7.1850082915161373E-3</v>
      </c>
    </row>
    <row r="1464" spans="1:4" x14ac:dyDescent="0.3">
      <c r="A1464" s="26">
        <v>44277</v>
      </c>
      <c r="B1464" s="27">
        <v>291.93841552734381</v>
      </c>
      <c r="C1464" s="27">
        <f t="shared" si="47"/>
        <v>5.676542874296266</v>
      </c>
      <c r="D1464" s="29">
        <f t="shared" si="48"/>
        <v>2.0748981015301649E-3</v>
      </c>
    </row>
    <row r="1465" spans="1:4" x14ac:dyDescent="0.3">
      <c r="A1465" s="26">
        <v>44278</v>
      </c>
      <c r="B1465" s="27">
        <v>289.04428100585938</v>
      </c>
      <c r="C1465" s="27">
        <f t="shared" si="47"/>
        <v>5.6665798978487834</v>
      </c>
      <c r="D1465" s="29">
        <f t="shared" si="48"/>
        <v>-1.755113397028274E-3</v>
      </c>
    </row>
    <row r="1466" spans="1:4" x14ac:dyDescent="0.3">
      <c r="A1466" s="26">
        <v>44279</v>
      </c>
      <c r="B1466" s="27">
        <v>280.60061645507813</v>
      </c>
      <c r="C1466" s="27">
        <f t="shared" si="47"/>
        <v>5.6369323645835454</v>
      </c>
      <c r="D1466" s="29">
        <f t="shared" si="48"/>
        <v>-5.231997748146644E-3</v>
      </c>
    </row>
    <row r="1467" spans="1:4" x14ac:dyDescent="0.3">
      <c r="A1467" s="26">
        <v>44280</v>
      </c>
      <c r="B1467" s="27">
        <v>277.21914672851563</v>
      </c>
      <c r="C1467" s="27">
        <f t="shared" si="47"/>
        <v>5.6248083368225865</v>
      </c>
      <c r="D1467" s="29">
        <f t="shared" si="48"/>
        <v>-2.150820158342337E-3</v>
      </c>
    </row>
    <row r="1468" spans="1:4" x14ac:dyDescent="0.3">
      <c r="A1468" s="26">
        <v>44281</v>
      </c>
      <c r="B1468" s="27">
        <v>281.47579956054688</v>
      </c>
      <c r="C1468" s="27">
        <f t="shared" si="47"/>
        <v>5.6400464742946168</v>
      </c>
      <c r="D1468" s="29">
        <f t="shared" si="48"/>
        <v>2.7090945254568677E-3</v>
      </c>
    </row>
    <row r="1469" spans="1:4" x14ac:dyDescent="0.3">
      <c r="A1469" s="26">
        <v>44284</v>
      </c>
      <c r="B1469" s="27">
        <v>289.23324584960938</v>
      </c>
      <c r="C1469" s="27">
        <f t="shared" si="47"/>
        <v>5.6672334416636483</v>
      </c>
      <c r="D1469" s="29">
        <f t="shared" si="48"/>
        <v>4.8203445650563115E-3</v>
      </c>
    </row>
    <row r="1470" spans="1:4" x14ac:dyDescent="0.3">
      <c r="A1470" s="26">
        <v>44285</v>
      </c>
      <c r="B1470" s="27">
        <v>286.42861938476563</v>
      </c>
      <c r="C1470" s="27">
        <f t="shared" si="47"/>
        <v>5.6574893581134518</v>
      </c>
      <c r="D1470" s="29">
        <f t="shared" si="48"/>
        <v>-1.7193721858289601E-3</v>
      </c>
    </row>
    <row r="1471" spans="1:4" x14ac:dyDescent="0.3">
      <c r="A1471" s="26">
        <v>44286</v>
      </c>
      <c r="B1471" s="27">
        <v>292.92300415039063</v>
      </c>
      <c r="C1471" s="27">
        <f t="shared" si="47"/>
        <v>5.6799097900135216</v>
      </c>
      <c r="D1471" s="29">
        <f t="shared" si="48"/>
        <v>3.9629649268215772E-3</v>
      </c>
    </row>
    <row r="1472" spans="1:4" x14ac:dyDescent="0.3">
      <c r="A1472" s="26">
        <v>44287</v>
      </c>
      <c r="B1472" s="27">
        <v>297.03048706054688</v>
      </c>
      <c r="C1472" s="27">
        <f t="shared" si="47"/>
        <v>5.6938347835700567</v>
      </c>
      <c r="D1472" s="29">
        <f t="shared" si="48"/>
        <v>2.4516223093926648E-3</v>
      </c>
    </row>
    <row r="1473" spans="1:4" x14ac:dyDescent="0.3">
      <c r="A1473" s="26">
        <v>44291</v>
      </c>
      <c r="B1473" s="27">
        <v>307.22454833984381</v>
      </c>
      <c r="C1473" s="27">
        <f t="shared" si="47"/>
        <v>5.7275789080413153</v>
      </c>
      <c r="D1473" s="29">
        <f t="shared" si="48"/>
        <v>5.9264319661380682E-3</v>
      </c>
    </row>
    <row r="1474" spans="1:4" x14ac:dyDescent="0.3">
      <c r="A1474" s="26">
        <v>44292</v>
      </c>
      <c r="B1474" s="27">
        <v>304.5889892578125</v>
      </c>
      <c r="C1474" s="27">
        <f t="shared" si="47"/>
        <v>5.7189632916061646</v>
      </c>
      <c r="D1474" s="29">
        <f t="shared" si="48"/>
        <v>-1.504233564212365E-3</v>
      </c>
    </row>
    <row r="1475" spans="1:4" x14ac:dyDescent="0.3">
      <c r="A1475" s="26">
        <v>44293</v>
      </c>
      <c r="B1475" s="27">
        <v>311.3817138671875</v>
      </c>
      <c r="C1475" s="27">
        <f t="shared" ref="C1475:C1538" si="49">LN(B1475)</f>
        <v>5.7410195353480811</v>
      </c>
      <c r="D1475" s="29">
        <f t="shared" si="48"/>
        <v>3.856685664391124E-3</v>
      </c>
    </row>
    <row r="1476" spans="1:4" x14ac:dyDescent="0.3">
      <c r="A1476" s="26">
        <v>44294</v>
      </c>
      <c r="B1476" s="27">
        <v>311.3121337890625</v>
      </c>
      <c r="C1476" s="27">
        <f t="shared" si="49"/>
        <v>5.7407960544876993</v>
      </c>
      <c r="D1476" s="29">
        <f t="shared" ref="D1476:D1539" si="50">C1476/C1475-1</f>
        <v>-3.892703360541816E-5</v>
      </c>
    </row>
    <row r="1477" spans="1:4" x14ac:dyDescent="0.3">
      <c r="A1477" s="26">
        <v>44295</v>
      </c>
      <c r="B1477" s="27">
        <v>310.75518798828119</v>
      </c>
      <c r="C1477" s="27">
        <f t="shared" si="49"/>
        <v>5.7390054253062663</v>
      </c>
      <c r="D1477" s="29">
        <f t="shared" si="50"/>
        <v>-3.1191304558420008E-4</v>
      </c>
    </row>
    <row r="1478" spans="1:4" x14ac:dyDescent="0.3">
      <c r="A1478" s="26">
        <v>44298</v>
      </c>
      <c r="B1478" s="27">
        <v>309.8402099609375</v>
      </c>
      <c r="C1478" s="27">
        <f t="shared" si="49"/>
        <v>5.7360567128493649</v>
      </c>
      <c r="D1478" s="29">
        <f t="shared" si="50"/>
        <v>-5.13801998495933E-4</v>
      </c>
    </row>
    <row r="1479" spans="1:4" x14ac:dyDescent="0.3">
      <c r="A1479" s="26">
        <v>44299</v>
      </c>
      <c r="B1479" s="27">
        <v>308.0699462890625</v>
      </c>
      <c r="C1479" s="27">
        <f t="shared" si="49"/>
        <v>5.7303268555317617</v>
      </c>
      <c r="D1479" s="29">
        <f t="shared" si="50"/>
        <v>-9.9891922350903162E-4</v>
      </c>
    </row>
    <row r="1480" spans="1:4" x14ac:dyDescent="0.3">
      <c r="A1480" s="26">
        <v>44300</v>
      </c>
      <c r="B1480" s="27">
        <v>301.16781616210938</v>
      </c>
      <c r="C1480" s="27">
        <f t="shared" si="49"/>
        <v>5.7076676381652218</v>
      </c>
      <c r="D1480" s="29">
        <f t="shared" si="50"/>
        <v>-3.954262634192629E-3</v>
      </c>
    </row>
    <row r="1481" spans="1:4" x14ac:dyDescent="0.3">
      <c r="A1481" s="26">
        <v>44301</v>
      </c>
      <c r="B1481" s="27">
        <v>306.1405029296875</v>
      </c>
      <c r="C1481" s="27">
        <f t="shared" si="49"/>
        <v>5.7240441564716695</v>
      </c>
      <c r="D1481" s="29">
        <f t="shared" si="50"/>
        <v>2.8692137217212199E-3</v>
      </c>
    </row>
    <row r="1482" spans="1:4" x14ac:dyDescent="0.3">
      <c r="A1482" s="26">
        <v>44302</v>
      </c>
      <c r="B1482" s="27">
        <v>304.50942993164063</v>
      </c>
      <c r="C1482" s="27">
        <f t="shared" si="49"/>
        <v>5.7187020552472516</v>
      </c>
      <c r="D1482" s="29">
        <f t="shared" si="50"/>
        <v>-9.3327393681585935E-4</v>
      </c>
    </row>
    <row r="1483" spans="1:4" x14ac:dyDescent="0.3">
      <c r="A1483" s="26">
        <v>44305</v>
      </c>
      <c r="B1483" s="27">
        <v>300.5909423828125</v>
      </c>
      <c r="C1483" s="27">
        <f t="shared" si="49"/>
        <v>5.7057503450711984</v>
      </c>
      <c r="D1483" s="29">
        <f t="shared" si="50"/>
        <v>-2.2647989090757159E-3</v>
      </c>
    </row>
    <row r="1484" spans="1:4" x14ac:dyDescent="0.3">
      <c r="A1484" s="26">
        <v>44306</v>
      </c>
      <c r="B1484" s="27">
        <v>300.99868774414063</v>
      </c>
      <c r="C1484" s="27">
        <f t="shared" si="49"/>
        <v>5.7071059050853545</v>
      </c>
      <c r="D1484" s="29">
        <f t="shared" si="50"/>
        <v>2.3757787007405717E-4</v>
      </c>
    </row>
    <row r="1485" spans="1:4" x14ac:dyDescent="0.3">
      <c r="A1485" s="26">
        <v>44307</v>
      </c>
      <c r="B1485" s="27">
        <v>299.82513427734381</v>
      </c>
      <c r="C1485" s="27">
        <f t="shared" si="49"/>
        <v>5.7031994189700779</v>
      </c>
      <c r="D1485" s="29">
        <f t="shared" si="50"/>
        <v>-6.8449511543067221E-4</v>
      </c>
    </row>
    <row r="1486" spans="1:4" x14ac:dyDescent="0.3">
      <c r="A1486" s="26">
        <v>44308</v>
      </c>
      <c r="B1486" s="27">
        <v>294.90216064453119</v>
      </c>
      <c r="C1486" s="27">
        <f t="shared" si="49"/>
        <v>5.6866436424967679</v>
      </c>
      <c r="D1486" s="29">
        <f t="shared" si="50"/>
        <v>-2.9028927900086599E-3</v>
      </c>
    </row>
    <row r="1487" spans="1:4" x14ac:dyDescent="0.3">
      <c r="A1487" s="26">
        <v>44309</v>
      </c>
      <c r="B1487" s="27">
        <v>299.48699951171881</v>
      </c>
      <c r="C1487" s="27">
        <f t="shared" si="49"/>
        <v>5.7020710093069313</v>
      </c>
      <c r="D1487" s="29">
        <f t="shared" si="50"/>
        <v>2.7129125333040793E-3</v>
      </c>
    </row>
    <row r="1488" spans="1:4" x14ac:dyDescent="0.3">
      <c r="A1488" s="26">
        <v>44312</v>
      </c>
      <c r="B1488" s="27">
        <v>301.38656616210938</v>
      </c>
      <c r="C1488" s="27">
        <f t="shared" si="49"/>
        <v>5.7083937137395671</v>
      </c>
      <c r="D1488" s="29">
        <f t="shared" si="50"/>
        <v>1.1088435100712335E-3</v>
      </c>
    </row>
    <row r="1489" spans="1:4" x14ac:dyDescent="0.3">
      <c r="A1489" s="26">
        <v>44313</v>
      </c>
      <c r="B1489" s="27">
        <v>301.9136962890625</v>
      </c>
      <c r="C1489" s="27">
        <f t="shared" si="49"/>
        <v>5.710141202656458</v>
      </c>
      <c r="D1489" s="29">
        <f t="shared" si="50"/>
        <v>3.0612620721748307E-4</v>
      </c>
    </row>
    <row r="1490" spans="1:4" x14ac:dyDescent="0.3">
      <c r="A1490" s="26">
        <v>44314</v>
      </c>
      <c r="B1490" s="27">
        <v>305.4244384765625</v>
      </c>
      <c r="C1490" s="27">
        <f t="shared" si="49"/>
        <v>5.7217024107898249</v>
      </c>
      <c r="D1490" s="29">
        <f t="shared" si="50"/>
        <v>2.0246799024845608E-3</v>
      </c>
    </row>
    <row r="1491" spans="1:4" x14ac:dyDescent="0.3">
      <c r="A1491" s="26">
        <v>44315</v>
      </c>
      <c r="B1491" s="27">
        <v>327.71218872070313</v>
      </c>
      <c r="C1491" s="27">
        <f t="shared" si="49"/>
        <v>5.792135749766504</v>
      </c>
      <c r="D1491" s="29">
        <f t="shared" si="50"/>
        <v>1.2309857087963616E-2</v>
      </c>
    </row>
    <row r="1492" spans="1:4" x14ac:dyDescent="0.3">
      <c r="A1492" s="26">
        <v>44316</v>
      </c>
      <c r="B1492" s="27">
        <v>323.30630493164063</v>
      </c>
      <c r="C1492" s="27">
        <f t="shared" si="49"/>
        <v>5.778600186340304</v>
      </c>
      <c r="D1492" s="29">
        <f t="shared" si="50"/>
        <v>-2.336886428593421E-3</v>
      </c>
    </row>
    <row r="1493" spans="1:4" x14ac:dyDescent="0.3">
      <c r="A1493" s="26">
        <v>44319</v>
      </c>
      <c r="B1493" s="27">
        <v>320.81991577148438</v>
      </c>
      <c r="C1493" s="27">
        <f t="shared" si="49"/>
        <v>5.7708799556473114</v>
      </c>
      <c r="D1493" s="29">
        <f t="shared" si="50"/>
        <v>-1.3360036071091708E-3</v>
      </c>
    </row>
    <row r="1494" spans="1:4" x14ac:dyDescent="0.3">
      <c r="A1494" s="26">
        <v>44320</v>
      </c>
      <c r="B1494" s="27">
        <v>316.62295532226563</v>
      </c>
      <c r="C1494" s="27">
        <f t="shared" si="49"/>
        <v>5.7577116505742314</v>
      </c>
      <c r="D1494" s="29">
        <f t="shared" si="50"/>
        <v>-2.2818539242345226E-3</v>
      </c>
    </row>
    <row r="1495" spans="1:4" x14ac:dyDescent="0.3">
      <c r="A1495" s="26">
        <v>44321</v>
      </c>
      <c r="B1495" s="27">
        <v>313.30120849609381</v>
      </c>
      <c r="C1495" s="27">
        <f t="shared" si="49"/>
        <v>5.7471650552634861</v>
      </c>
      <c r="D1495" s="29">
        <f t="shared" si="50"/>
        <v>-1.8317338468475386E-3</v>
      </c>
    </row>
    <row r="1496" spans="1:4" x14ac:dyDescent="0.3">
      <c r="A1496" s="26">
        <v>44322</v>
      </c>
      <c r="B1496" s="27">
        <v>318.27389526367188</v>
      </c>
      <c r="C1496" s="27">
        <f t="shared" si="49"/>
        <v>5.7629123179297359</v>
      </c>
      <c r="D1496" s="29">
        <f t="shared" si="50"/>
        <v>2.7400052921444651E-3</v>
      </c>
    </row>
    <row r="1497" spans="1:4" x14ac:dyDescent="0.3">
      <c r="A1497" s="26">
        <v>44323</v>
      </c>
      <c r="B1497" s="27">
        <v>317.33905029296881</v>
      </c>
      <c r="C1497" s="27">
        <f t="shared" si="49"/>
        <v>5.7599707615900799</v>
      </c>
      <c r="D1497" s="29">
        <f t="shared" si="50"/>
        <v>-5.104287862413015E-4</v>
      </c>
    </row>
    <row r="1498" spans="1:4" x14ac:dyDescent="0.3">
      <c r="A1498" s="26">
        <v>44326</v>
      </c>
      <c r="B1498" s="27">
        <v>304.30062866210938</v>
      </c>
      <c r="C1498" s="27">
        <f t="shared" si="49"/>
        <v>5.7180161228295106</v>
      </c>
      <c r="D1498" s="29">
        <f t="shared" si="50"/>
        <v>-7.2838284250227314E-3</v>
      </c>
    </row>
    <row r="1499" spans="1:4" x14ac:dyDescent="0.3">
      <c r="A1499" s="26">
        <v>44327</v>
      </c>
      <c r="B1499" s="27">
        <v>304.85751342773438</v>
      </c>
      <c r="C1499" s="27">
        <f t="shared" si="49"/>
        <v>5.7198444983605388</v>
      </c>
      <c r="D1499" s="29">
        <f t="shared" si="50"/>
        <v>3.1975697370434375E-4</v>
      </c>
    </row>
    <row r="1500" spans="1:4" x14ac:dyDescent="0.3">
      <c r="A1500" s="26">
        <v>44328</v>
      </c>
      <c r="B1500" s="27">
        <v>300.89920043945313</v>
      </c>
      <c r="C1500" s="27">
        <f t="shared" si="49"/>
        <v>5.7067753264023366</v>
      </c>
      <c r="D1500" s="29">
        <f t="shared" si="50"/>
        <v>-2.2848823883145908E-3</v>
      </c>
    </row>
    <row r="1501" spans="1:4" x14ac:dyDescent="0.3">
      <c r="A1501" s="26">
        <v>44329</v>
      </c>
      <c r="B1501" s="27">
        <v>303.59445190429688</v>
      </c>
      <c r="C1501" s="27">
        <f t="shared" si="49"/>
        <v>5.7156927709944734</v>
      </c>
      <c r="D1501" s="29">
        <f t="shared" si="50"/>
        <v>1.5626065653715493E-3</v>
      </c>
    </row>
    <row r="1502" spans="1:4" x14ac:dyDescent="0.3">
      <c r="A1502" s="26">
        <v>44330</v>
      </c>
      <c r="B1502" s="27">
        <v>314.2161865234375</v>
      </c>
      <c r="C1502" s="27">
        <f t="shared" si="49"/>
        <v>5.7500812411191475</v>
      </c>
      <c r="D1502" s="29">
        <f t="shared" si="50"/>
        <v>6.0165007992007968E-3</v>
      </c>
    </row>
    <row r="1503" spans="1:4" x14ac:dyDescent="0.3">
      <c r="A1503" s="26">
        <v>44333</v>
      </c>
      <c r="B1503" s="27">
        <v>313.73880004882813</v>
      </c>
      <c r="C1503" s="27">
        <f t="shared" si="49"/>
        <v>5.7485607927533104</v>
      </c>
      <c r="D1503" s="29">
        <f t="shared" si="50"/>
        <v>-2.6442206676391411E-4</v>
      </c>
    </row>
    <row r="1504" spans="1:4" x14ac:dyDescent="0.3">
      <c r="A1504" s="26">
        <v>44334</v>
      </c>
      <c r="B1504" s="27">
        <v>308.26882934570313</v>
      </c>
      <c r="C1504" s="27">
        <f t="shared" si="49"/>
        <v>5.7309722248364556</v>
      </c>
      <c r="D1504" s="29">
        <f t="shared" si="50"/>
        <v>-3.0596471970909533E-3</v>
      </c>
    </row>
    <row r="1505" spans="1:4" x14ac:dyDescent="0.3">
      <c r="A1505" s="26">
        <v>44335</v>
      </c>
      <c r="B1505" s="27">
        <v>311.8790283203125</v>
      </c>
      <c r="C1505" s="27">
        <f t="shared" si="49"/>
        <v>5.7426153828802819</v>
      </c>
      <c r="D1505" s="29">
        <f t="shared" si="50"/>
        <v>2.031620044042004E-3</v>
      </c>
    </row>
    <row r="1506" spans="1:4" x14ac:dyDescent="0.3">
      <c r="A1506" s="26">
        <v>44336</v>
      </c>
      <c r="B1506" s="27">
        <v>316.87158203125</v>
      </c>
      <c r="C1506" s="27">
        <f t="shared" si="49"/>
        <v>5.7584965877981213</v>
      </c>
      <c r="D1506" s="29">
        <f t="shared" si="50"/>
        <v>2.7655003615920659E-3</v>
      </c>
    </row>
    <row r="1507" spans="1:4" x14ac:dyDescent="0.3">
      <c r="A1507" s="26">
        <v>44337</v>
      </c>
      <c r="B1507" s="27">
        <v>314.50460815429688</v>
      </c>
      <c r="C1507" s="27">
        <f t="shared" si="49"/>
        <v>5.7509987283520596</v>
      </c>
      <c r="D1507" s="29">
        <f t="shared" si="50"/>
        <v>-1.3020515566423141E-3</v>
      </c>
    </row>
    <row r="1508" spans="1:4" x14ac:dyDescent="0.3">
      <c r="A1508" s="26">
        <v>44340</v>
      </c>
      <c r="B1508" s="27">
        <v>322.85879516601563</v>
      </c>
      <c r="C1508" s="27">
        <f t="shared" si="49"/>
        <v>5.7772150609687678</v>
      </c>
      <c r="D1508" s="29">
        <f t="shared" si="50"/>
        <v>4.5585704075126188E-3</v>
      </c>
    </row>
    <row r="1509" spans="1:4" x14ac:dyDescent="0.3">
      <c r="A1509" s="26">
        <v>44341</v>
      </c>
      <c r="B1509" s="27">
        <v>326.00155639648438</v>
      </c>
      <c r="C1509" s="27">
        <f t="shared" si="49"/>
        <v>5.7869021555776561</v>
      </c>
      <c r="D1509" s="29">
        <f t="shared" si="50"/>
        <v>1.6767758351829976E-3</v>
      </c>
    </row>
    <row r="1510" spans="1:4" x14ac:dyDescent="0.3">
      <c r="A1510" s="26">
        <v>44342</v>
      </c>
      <c r="B1510" s="27">
        <v>325.87225341796881</v>
      </c>
      <c r="C1510" s="27">
        <f t="shared" si="49"/>
        <v>5.7865054438881707</v>
      </c>
      <c r="D1510" s="29">
        <f t="shared" si="50"/>
        <v>-6.8553377752023081E-5</v>
      </c>
    </row>
    <row r="1511" spans="1:4" x14ac:dyDescent="0.3">
      <c r="A1511" s="26">
        <v>44343</v>
      </c>
      <c r="B1511" s="27">
        <v>330.93447875976563</v>
      </c>
      <c r="C1511" s="27">
        <f t="shared" si="49"/>
        <v>5.801920406416234</v>
      </c>
      <c r="D1511" s="29">
        <f t="shared" si="50"/>
        <v>2.6639502334426801E-3</v>
      </c>
    </row>
    <row r="1512" spans="1:4" x14ac:dyDescent="0.3">
      <c r="A1512" s="26">
        <v>44344</v>
      </c>
      <c r="B1512" s="27">
        <v>326.9364013671875</v>
      </c>
      <c r="C1512" s="27">
        <f t="shared" si="49"/>
        <v>5.7897656607495387</v>
      </c>
      <c r="D1512" s="29">
        <f t="shared" si="50"/>
        <v>-2.0949521564020968E-3</v>
      </c>
    </row>
    <row r="1513" spans="1:4" x14ac:dyDescent="0.3">
      <c r="A1513" s="26">
        <v>44348</v>
      </c>
      <c r="B1513" s="27">
        <v>327.33419799804688</v>
      </c>
      <c r="C1513" s="27">
        <f t="shared" si="49"/>
        <v>5.7909816612247624</v>
      </c>
      <c r="D1513" s="29">
        <f t="shared" si="50"/>
        <v>2.1002585363127935E-4</v>
      </c>
    </row>
    <row r="1514" spans="1:4" x14ac:dyDescent="0.3">
      <c r="A1514" s="26">
        <v>44349</v>
      </c>
      <c r="B1514" s="27">
        <v>327.3541259765625</v>
      </c>
      <c r="C1514" s="27">
        <f t="shared" si="49"/>
        <v>5.7910425389822908</v>
      </c>
      <c r="D1514" s="29">
        <f t="shared" si="50"/>
        <v>1.0512510846938383E-5</v>
      </c>
    </row>
    <row r="1515" spans="1:4" x14ac:dyDescent="0.3">
      <c r="A1515" s="26">
        <v>44350</v>
      </c>
      <c r="B1515" s="27">
        <v>324.2611083984375</v>
      </c>
      <c r="C1515" s="27">
        <f t="shared" si="49"/>
        <v>5.7815490813558812</v>
      </c>
      <c r="D1515" s="29">
        <f t="shared" si="50"/>
        <v>-1.6393348110473882E-3</v>
      </c>
    </row>
    <row r="1516" spans="1:4" x14ac:dyDescent="0.3">
      <c r="A1516" s="26">
        <v>44351</v>
      </c>
      <c r="B1516" s="27">
        <v>328.54754638671881</v>
      </c>
      <c r="C1516" s="27">
        <f t="shared" si="49"/>
        <v>5.794681565310265</v>
      </c>
      <c r="D1516" s="29">
        <f t="shared" si="50"/>
        <v>2.2714472833471611E-3</v>
      </c>
    </row>
    <row r="1517" spans="1:4" x14ac:dyDescent="0.3">
      <c r="A1517" s="26">
        <v>44354</v>
      </c>
      <c r="B1517" s="27">
        <v>334.7435302734375</v>
      </c>
      <c r="C1517" s="27">
        <f t="shared" si="49"/>
        <v>5.8133646573447439</v>
      </c>
      <c r="D1517" s="29">
        <f t="shared" si="50"/>
        <v>3.2241792450382611E-3</v>
      </c>
    </row>
    <row r="1518" spans="1:4" x14ac:dyDescent="0.3">
      <c r="A1518" s="26">
        <v>44355</v>
      </c>
      <c r="B1518" s="27">
        <v>331.859375</v>
      </c>
      <c r="C1518" s="27">
        <f t="shared" si="49"/>
        <v>5.8047113099085745</v>
      </c>
      <c r="D1518" s="29">
        <f t="shared" si="50"/>
        <v>-1.4885265154038763E-3</v>
      </c>
    </row>
    <row r="1519" spans="1:4" x14ac:dyDescent="0.3">
      <c r="A1519" s="26">
        <v>44356</v>
      </c>
      <c r="B1519" s="27">
        <v>328.44808959960938</v>
      </c>
      <c r="C1519" s="27">
        <f t="shared" si="49"/>
        <v>5.7943788029099643</v>
      </c>
      <c r="D1519" s="29">
        <f t="shared" si="50"/>
        <v>-1.780020822219508E-3</v>
      </c>
    </row>
    <row r="1520" spans="1:4" x14ac:dyDescent="0.3">
      <c r="A1520" s="26">
        <v>44357</v>
      </c>
      <c r="B1520" s="27">
        <v>330.64605712890619</v>
      </c>
      <c r="C1520" s="27">
        <f t="shared" si="49"/>
        <v>5.8010484894432102</v>
      </c>
      <c r="D1520" s="29">
        <f t="shared" si="50"/>
        <v>1.151061530512365E-3</v>
      </c>
    </row>
    <row r="1521" spans="1:4" x14ac:dyDescent="0.3">
      <c r="A1521" s="26">
        <v>44358</v>
      </c>
      <c r="B1521" s="27">
        <v>329.45260620117188</v>
      </c>
      <c r="C1521" s="27">
        <f t="shared" si="49"/>
        <v>5.797432508092454</v>
      </c>
      <c r="D1521" s="29">
        <f t="shared" si="50"/>
        <v>-6.2333237816170062E-4</v>
      </c>
    </row>
    <row r="1522" spans="1:4" x14ac:dyDescent="0.3">
      <c r="A1522" s="26">
        <v>44361</v>
      </c>
      <c r="B1522" s="27">
        <v>334.93252563476563</v>
      </c>
      <c r="C1522" s="27">
        <f t="shared" si="49"/>
        <v>5.8139290955225116</v>
      </c>
      <c r="D1522" s="29">
        <f t="shared" si="50"/>
        <v>2.8454988319450703E-3</v>
      </c>
    </row>
    <row r="1523" spans="1:4" x14ac:dyDescent="0.3">
      <c r="A1523" s="26">
        <v>44362</v>
      </c>
      <c r="B1523" s="27">
        <v>334.91262817382813</v>
      </c>
      <c r="C1523" s="27">
        <f t="shared" si="49"/>
        <v>5.8138696863864441</v>
      </c>
      <c r="D1523" s="29">
        <f t="shared" si="50"/>
        <v>-1.0218414275731114E-5</v>
      </c>
    </row>
    <row r="1524" spans="1:4" x14ac:dyDescent="0.3">
      <c r="A1524" s="26">
        <v>44363</v>
      </c>
      <c r="B1524" s="27">
        <v>329.27359008789063</v>
      </c>
      <c r="C1524" s="27">
        <f t="shared" si="49"/>
        <v>5.7968889860078709</v>
      </c>
      <c r="D1524" s="29">
        <f t="shared" si="50"/>
        <v>-2.920722564238809E-3</v>
      </c>
    </row>
    <row r="1525" spans="1:4" x14ac:dyDescent="0.3">
      <c r="A1525" s="26">
        <v>44364</v>
      </c>
      <c r="B1525" s="27">
        <v>334.67398071289063</v>
      </c>
      <c r="C1525" s="27">
        <f t="shared" si="49"/>
        <v>5.8131568660645465</v>
      </c>
      <c r="D1525" s="29">
        <f t="shared" si="50"/>
        <v>2.806312160874791E-3</v>
      </c>
    </row>
    <row r="1526" spans="1:4" x14ac:dyDescent="0.3">
      <c r="A1526" s="26">
        <v>44365</v>
      </c>
      <c r="B1526" s="27">
        <v>327.861328125</v>
      </c>
      <c r="C1526" s="27">
        <f t="shared" si="49"/>
        <v>5.7925907388807296</v>
      </c>
      <c r="D1526" s="29">
        <f t="shared" si="50"/>
        <v>-3.5378586295986558E-3</v>
      </c>
    </row>
    <row r="1527" spans="1:4" x14ac:dyDescent="0.3">
      <c r="A1527" s="26">
        <v>44368</v>
      </c>
      <c r="B1527" s="27">
        <v>330.47698974609381</v>
      </c>
      <c r="C1527" s="27">
        <f t="shared" si="49"/>
        <v>5.8005370343145559</v>
      </c>
      <c r="D1527" s="29">
        <f t="shared" si="50"/>
        <v>1.371803359158319E-3</v>
      </c>
    </row>
    <row r="1528" spans="1:4" x14ac:dyDescent="0.3">
      <c r="A1528" s="26">
        <v>44369</v>
      </c>
      <c r="B1528" s="27">
        <v>337.18023681640619</v>
      </c>
      <c r="C1528" s="27">
        <f t="shared" si="49"/>
        <v>5.8206176147315754</v>
      </c>
      <c r="D1528" s="29">
        <f t="shared" si="50"/>
        <v>3.4618484975146302E-3</v>
      </c>
    </row>
    <row r="1529" spans="1:4" x14ac:dyDescent="0.3">
      <c r="A1529" s="26">
        <v>44370</v>
      </c>
      <c r="B1529" s="27">
        <v>338.731689453125</v>
      </c>
      <c r="C1529" s="27">
        <f t="shared" si="49"/>
        <v>5.8252083174580722</v>
      </c>
      <c r="D1529" s="29">
        <f t="shared" si="50"/>
        <v>7.8869684118720862E-4</v>
      </c>
    </row>
    <row r="1530" spans="1:4" x14ac:dyDescent="0.3">
      <c r="A1530" s="26">
        <v>44371</v>
      </c>
      <c r="B1530" s="27">
        <v>341.30758666992188</v>
      </c>
      <c r="C1530" s="27">
        <f t="shared" si="49"/>
        <v>5.8327840844084191</v>
      </c>
      <c r="D1530" s="29">
        <f t="shared" si="50"/>
        <v>1.3005143400008912E-3</v>
      </c>
    </row>
    <row r="1531" spans="1:4" x14ac:dyDescent="0.3">
      <c r="A1531" s="26">
        <v>44372</v>
      </c>
      <c r="B1531" s="27">
        <v>339.5074462890625</v>
      </c>
      <c r="C1531" s="27">
        <f t="shared" si="49"/>
        <v>5.8274958798629735</v>
      </c>
      <c r="D1531" s="29">
        <f t="shared" si="50"/>
        <v>-9.0663471661522888E-4</v>
      </c>
    </row>
    <row r="1532" spans="1:4" x14ac:dyDescent="0.3">
      <c r="A1532" s="26">
        <v>44375</v>
      </c>
      <c r="B1532" s="27">
        <v>353.69961547851563</v>
      </c>
      <c r="C1532" s="27">
        <f t="shared" si="49"/>
        <v>5.8684480090706561</v>
      </c>
      <c r="D1532" s="29">
        <f t="shared" si="50"/>
        <v>7.0273973679146895E-3</v>
      </c>
    </row>
    <row r="1533" spans="1:4" x14ac:dyDescent="0.3">
      <c r="A1533" s="26">
        <v>44376</v>
      </c>
      <c r="B1533" s="27">
        <v>349.97003173828119</v>
      </c>
      <c r="C1533" s="27">
        <f t="shared" si="49"/>
        <v>5.8578475272126385</v>
      </c>
      <c r="D1533" s="29">
        <f t="shared" si="50"/>
        <v>-1.8063518398105938E-3</v>
      </c>
    </row>
    <row r="1534" spans="1:4" x14ac:dyDescent="0.3">
      <c r="A1534" s="26">
        <v>44377</v>
      </c>
      <c r="B1534" s="27">
        <v>345.81283569335938</v>
      </c>
      <c r="C1534" s="27">
        <f t="shared" si="49"/>
        <v>5.8458976913959289</v>
      </c>
      <c r="D1534" s="29">
        <f t="shared" si="50"/>
        <v>-2.0399704432723098E-3</v>
      </c>
    </row>
    <row r="1535" spans="1:4" x14ac:dyDescent="0.3">
      <c r="A1535" s="26">
        <v>44378</v>
      </c>
      <c r="B1535" s="27">
        <v>352.4564208984375</v>
      </c>
      <c r="C1535" s="27">
        <f t="shared" si="49"/>
        <v>5.8649269859527564</v>
      </c>
      <c r="D1535" s="29">
        <f t="shared" si="50"/>
        <v>3.2551535386660113E-3</v>
      </c>
    </row>
    <row r="1536" spans="1:4" x14ac:dyDescent="0.3">
      <c r="A1536" s="26">
        <v>44379</v>
      </c>
      <c r="B1536" s="27">
        <v>352.76473999023438</v>
      </c>
      <c r="C1536" s="27">
        <f t="shared" si="49"/>
        <v>5.8658013757996299</v>
      </c>
      <c r="D1536" s="29">
        <f t="shared" si="50"/>
        <v>1.4908793391077424E-4</v>
      </c>
    </row>
    <row r="1537" spans="1:4" x14ac:dyDescent="0.3">
      <c r="A1537" s="26">
        <v>44383</v>
      </c>
      <c r="B1537" s="27">
        <v>350.85516357421881</v>
      </c>
      <c r="C1537" s="27">
        <f t="shared" si="49"/>
        <v>5.8603734989171157</v>
      </c>
      <c r="D1537" s="29">
        <f t="shared" si="50"/>
        <v>-9.2534276815237071E-4</v>
      </c>
    </row>
    <row r="1538" spans="1:4" x14ac:dyDescent="0.3">
      <c r="A1538" s="26">
        <v>44384</v>
      </c>
      <c r="B1538" s="27">
        <v>348.57766723632813</v>
      </c>
      <c r="C1538" s="27">
        <f t="shared" si="49"/>
        <v>5.8538610668809081</v>
      </c>
      <c r="D1538" s="29">
        <f t="shared" si="50"/>
        <v>-1.1112656961900225E-3</v>
      </c>
    </row>
    <row r="1539" spans="1:4" x14ac:dyDescent="0.3">
      <c r="A1539" s="26">
        <v>44385</v>
      </c>
      <c r="B1539" s="27">
        <v>343.76406860351563</v>
      </c>
      <c r="C1539" s="27">
        <f t="shared" ref="C1539:C1602" si="51">LN(B1539)</f>
        <v>5.839955574989891</v>
      </c>
      <c r="D1539" s="29">
        <f t="shared" si="50"/>
        <v>-2.3754393437331878E-3</v>
      </c>
    </row>
    <row r="1540" spans="1:4" x14ac:dyDescent="0.3">
      <c r="A1540" s="26">
        <v>44386</v>
      </c>
      <c r="B1540" s="27">
        <v>348.50808715820313</v>
      </c>
      <c r="C1540" s="27">
        <f t="shared" si="51"/>
        <v>5.8536614355502801</v>
      </c>
      <c r="D1540" s="29">
        <f t="shared" ref="D1540:D1603" si="52">C1540/C1539-1</f>
        <v>2.3469117845837939E-3</v>
      </c>
    </row>
    <row r="1541" spans="1:4" x14ac:dyDescent="0.3">
      <c r="A1541" s="26">
        <v>44389</v>
      </c>
      <c r="B1541" s="27">
        <v>351.23309326171881</v>
      </c>
      <c r="C1541" s="27">
        <f t="shared" si="51"/>
        <v>5.8614500864268004</v>
      </c>
      <c r="D1541" s="29">
        <f t="shared" si="52"/>
        <v>1.3305605324589465E-3</v>
      </c>
    </row>
    <row r="1542" spans="1:4" x14ac:dyDescent="0.3">
      <c r="A1542" s="26">
        <v>44390</v>
      </c>
      <c r="B1542" s="27">
        <v>350.16897583007813</v>
      </c>
      <c r="C1542" s="27">
        <f t="shared" si="51"/>
        <v>5.858415826064725</v>
      </c>
      <c r="D1542" s="29">
        <f t="shared" si="52"/>
        <v>-5.1766377216144743E-4</v>
      </c>
    </row>
    <row r="1543" spans="1:4" x14ac:dyDescent="0.3">
      <c r="A1543" s="26">
        <v>44391</v>
      </c>
      <c r="B1543" s="27">
        <v>345.7332763671875</v>
      </c>
      <c r="C1543" s="27">
        <f t="shared" si="51"/>
        <v>5.8456676002273564</v>
      </c>
      <c r="D1543" s="29">
        <f t="shared" si="52"/>
        <v>-2.1760534273873589E-3</v>
      </c>
    </row>
    <row r="1544" spans="1:4" x14ac:dyDescent="0.3">
      <c r="A1544" s="26">
        <v>44392</v>
      </c>
      <c r="B1544" s="27">
        <v>342.58059692382813</v>
      </c>
      <c r="C1544" s="27">
        <f t="shared" si="51"/>
        <v>5.8365069495046225</v>
      </c>
      <c r="D1544" s="29">
        <f t="shared" si="52"/>
        <v>-1.5670837531674975E-3</v>
      </c>
    </row>
    <row r="1545" spans="1:4" x14ac:dyDescent="0.3">
      <c r="A1545" s="26">
        <v>44393</v>
      </c>
      <c r="B1545" s="27">
        <v>339.29861450195313</v>
      </c>
      <c r="C1545" s="27">
        <f t="shared" si="51"/>
        <v>5.8268805883805896</v>
      </c>
      <c r="D1545" s="29">
        <f t="shared" si="52"/>
        <v>-1.6493360167848525E-3</v>
      </c>
    </row>
    <row r="1546" spans="1:4" x14ac:dyDescent="0.3">
      <c r="A1546" s="26">
        <v>44396</v>
      </c>
      <c r="B1546" s="27">
        <v>335.111572265625</v>
      </c>
      <c r="C1546" s="27">
        <f t="shared" si="51"/>
        <v>5.8144635279148931</v>
      </c>
      <c r="D1546" s="29">
        <f t="shared" si="52"/>
        <v>-2.130996212700409E-3</v>
      </c>
    </row>
    <row r="1547" spans="1:4" x14ac:dyDescent="0.3">
      <c r="A1547" s="26">
        <v>44397</v>
      </c>
      <c r="B1547" s="27">
        <v>339.79583740234381</v>
      </c>
      <c r="C1547" s="27">
        <f t="shared" si="51"/>
        <v>5.8283449590225507</v>
      </c>
      <c r="D1547" s="29">
        <f t="shared" si="52"/>
        <v>2.3873967118399619E-3</v>
      </c>
    </row>
    <row r="1548" spans="1:4" x14ac:dyDescent="0.3">
      <c r="A1548" s="26">
        <v>44398</v>
      </c>
      <c r="B1548" s="27">
        <v>344.34091186523438</v>
      </c>
      <c r="C1548" s="27">
        <f t="shared" si="51"/>
        <v>5.8416321894984886</v>
      </c>
      <c r="D1548" s="29">
        <f t="shared" si="52"/>
        <v>2.2797604756334966E-3</v>
      </c>
    </row>
    <row r="1549" spans="1:4" x14ac:dyDescent="0.3">
      <c r="A1549" s="26">
        <v>44399</v>
      </c>
      <c r="B1549" s="27">
        <v>349.27386474609381</v>
      </c>
      <c r="C1549" s="27">
        <f t="shared" si="51"/>
        <v>5.855856327215883</v>
      </c>
      <c r="D1549" s="29">
        <f t="shared" si="52"/>
        <v>2.4349594866595048E-3</v>
      </c>
    </row>
    <row r="1550" spans="1:4" x14ac:dyDescent="0.3">
      <c r="A1550" s="26">
        <v>44400</v>
      </c>
      <c r="B1550" s="27">
        <v>367.77239990234381</v>
      </c>
      <c r="C1550" s="27">
        <f t="shared" si="51"/>
        <v>5.9074642683059517</v>
      </c>
      <c r="D1550" s="29">
        <f t="shared" si="52"/>
        <v>8.8130476921393086E-3</v>
      </c>
    </row>
    <row r="1551" spans="1:4" x14ac:dyDescent="0.3">
      <c r="A1551" s="26">
        <v>44403</v>
      </c>
      <c r="B1551" s="27">
        <v>370.42779541015619</v>
      </c>
      <c r="C1551" s="27">
        <f t="shared" si="51"/>
        <v>5.9146585415606374</v>
      </c>
      <c r="D1551" s="29">
        <f t="shared" si="52"/>
        <v>1.2178276377030617E-3</v>
      </c>
    </row>
    <row r="1552" spans="1:4" x14ac:dyDescent="0.3">
      <c r="A1552" s="26">
        <v>44404</v>
      </c>
      <c r="B1552" s="27">
        <v>365.80316162109381</v>
      </c>
      <c r="C1552" s="27">
        <f t="shared" si="51"/>
        <v>5.9020953789513824</v>
      </c>
      <c r="D1552" s="29">
        <f t="shared" si="52"/>
        <v>-2.1240723400982597E-3</v>
      </c>
    </row>
    <row r="1553" spans="1:4" x14ac:dyDescent="0.3">
      <c r="A1553" s="26">
        <v>44405</v>
      </c>
      <c r="B1553" s="27">
        <v>371.24334716796881</v>
      </c>
      <c r="C1553" s="27">
        <f t="shared" si="51"/>
        <v>5.9168577698700631</v>
      </c>
      <c r="D1553" s="29">
        <f t="shared" si="52"/>
        <v>2.5012118528833227E-3</v>
      </c>
    </row>
    <row r="1554" spans="1:4" x14ac:dyDescent="0.3">
      <c r="A1554" s="26">
        <v>44406</v>
      </c>
      <c r="B1554" s="27">
        <v>356.36495971679688</v>
      </c>
      <c r="C1554" s="27">
        <f t="shared" si="51"/>
        <v>5.8759553734702541</v>
      </c>
      <c r="D1554" s="29">
        <f t="shared" si="52"/>
        <v>-6.9128578023445186E-3</v>
      </c>
    </row>
    <row r="1555" spans="1:4" x14ac:dyDescent="0.3">
      <c r="A1555" s="26">
        <v>44407</v>
      </c>
      <c r="B1555" s="27">
        <v>354.35598754882813</v>
      </c>
      <c r="C1555" s="27">
        <f t="shared" si="51"/>
        <v>5.8703020223869045</v>
      </c>
      <c r="D1555" s="29">
        <f t="shared" si="52"/>
        <v>-9.6211606862683929E-4</v>
      </c>
    </row>
    <row r="1556" spans="1:4" x14ac:dyDescent="0.3">
      <c r="A1556" s="26">
        <v>44410</v>
      </c>
      <c r="B1556" s="27">
        <v>350.02969360351563</v>
      </c>
      <c r="C1556" s="27">
        <f t="shared" si="51"/>
        <v>5.8580179897520335</v>
      </c>
      <c r="D1556" s="29">
        <f t="shared" si="52"/>
        <v>-2.0925725095616299E-3</v>
      </c>
    </row>
    <row r="1557" spans="1:4" x14ac:dyDescent="0.3">
      <c r="A1557" s="26">
        <v>44411</v>
      </c>
      <c r="B1557" s="27">
        <v>349.32357788085938</v>
      </c>
      <c r="C1557" s="27">
        <f t="shared" si="51"/>
        <v>5.8559986499093721</v>
      </c>
      <c r="D1557" s="29">
        <f t="shared" si="52"/>
        <v>-3.4471383430267899E-4</v>
      </c>
    </row>
    <row r="1558" spans="1:4" x14ac:dyDescent="0.3">
      <c r="A1558" s="26">
        <v>44412</v>
      </c>
      <c r="B1558" s="27">
        <v>356.96173095703119</v>
      </c>
      <c r="C1558" s="27">
        <f t="shared" si="51"/>
        <v>5.8776285798349237</v>
      </c>
      <c r="D1558" s="29">
        <f t="shared" si="52"/>
        <v>3.6936364262800669E-3</v>
      </c>
    </row>
    <row r="1559" spans="1:4" x14ac:dyDescent="0.3">
      <c r="A1559" s="26">
        <v>44413</v>
      </c>
      <c r="B1559" s="27">
        <v>360.98959350585938</v>
      </c>
      <c r="C1559" s="27">
        <f t="shared" si="51"/>
        <v>5.8888491310638038</v>
      </c>
      <c r="D1559" s="29">
        <f t="shared" si="52"/>
        <v>1.9090269275223726E-3</v>
      </c>
    </row>
    <row r="1560" spans="1:4" x14ac:dyDescent="0.3">
      <c r="A1560" s="26">
        <v>44414</v>
      </c>
      <c r="B1560" s="27">
        <v>361.52664184570313</v>
      </c>
      <c r="C1560" s="27">
        <f t="shared" si="51"/>
        <v>5.8903357369349889</v>
      </c>
      <c r="D1560" s="29">
        <f t="shared" si="52"/>
        <v>2.5244421076142665E-4</v>
      </c>
    </row>
    <row r="1561" spans="1:4" x14ac:dyDescent="0.3">
      <c r="A1561" s="26">
        <v>44417</v>
      </c>
      <c r="B1561" s="27">
        <v>359.63702392578119</v>
      </c>
      <c r="C1561" s="27">
        <f t="shared" si="51"/>
        <v>5.8850952559343552</v>
      </c>
      <c r="D1561" s="29">
        <f t="shared" si="52"/>
        <v>-8.8967441495291233E-4</v>
      </c>
    </row>
    <row r="1562" spans="1:4" x14ac:dyDescent="0.3">
      <c r="A1562" s="26">
        <v>44418</v>
      </c>
      <c r="B1562" s="27">
        <v>359.15963745117188</v>
      </c>
      <c r="C1562" s="27">
        <f t="shared" si="51"/>
        <v>5.8837669622166713</v>
      </c>
      <c r="D1562" s="29">
        <f t="shared" si="52"/>
        <v>-2.2570470993554803E-4</v>
      </c>
    </row>
    <row r="1563" spans="1:4" x14ac:dyDescent="0.3">
      <c r="A1563" s="26">
        <v>44419</v>
      </c>
      <c r="B1563" s="27">
        <v>357.99600219726563</v>
      </c>
      <c r="C1563" s="27">
        <f t="shared" si="51"/>
        <v>5.8805218192916042</v>
      </c>
      <c r="D1563" s="29">
        <f t="shared" si="52"/>
        <v>-5.515417156910507E-4</v>
      </c>
    </row>
    <row r="1564" spans="1:4" x14ac:dyDescent="0.3">
      <c r="A1564" s="26">
        <v>44420</v>
      </c>
      <c r="B1564" s="27">
        <v>360.67132568359381</v>
      </c>
      <c r="C1564" s="27">
        <f t="shared" si="51"/>
        <v>5.8879670884467332</v>
      </c>
      <c r="D1564" s="29">
        <f t="shared" si="52"/>
        <v>1.2660898784022656E-3</v>
      </c>
    </row>
    <row r="1565" spans="1:4" x14ac:dyDescent="0.3">
      <c r="A1565" s="26">
        <v>44421</v>
      </c>
      <c r="B1565" s="27">
        <v>361.19845581054688</v>
      </c>
      <c r="C1565" s="27">
        <f t="shared" si="51"/>
        <v>5.8894275463690926</v>
      </c>
      <c r="D1565" s="29">
        <f t="shared" si="52"/>
        <v>2.4804111511178561E-4</v>
      </c>
    </row>
    <row r="1566" spans="1:4" x14ac:dyDescent="0.3">
      <c r="A1566" s="26">
        <v>44424</v>
      </c>
      <c r="B1566" s="27">
        <v>364.55996704101563</v>
      </c>
      <c r="C1566" s="27">
        <f t="shared" si="51"/>
        <v>5.898691056548051</v>
      </c>
      <c r="D1566" s="29">
        <f t="shared" si="52"/>
        <v>1.5729050244737142E-3</v>
      </c>
    </row>
    <row r="1567" spans="1:4" x14ac:dyDescent="0.3">
      <c r="A1567" s="26">
        <v>44425</v>
      </c>
      <c r="B1567" s="27">
        <v>356.49423217773438</v>
      </c>
      <c r="C1567" s="27">
        <f t="shared" si="51"/>
        <v>5.876318060698881</v>
      </c>
      <c r="D1567" s="29">
        <f t="shared" si="52"/>
        <v>-3.7928746623090426E-3</v>
      </c>
    </row>
    <row r="1568" spans="1:4" x14ac:dyDescent="0.3">
      <c r="A1568" s="26">
        <v>44426</v>
      </c>
      <c r="B1568" s="27">
        <v>353.5106201171875</v>
      </c>
      <c r="C1568" s="27">
        <f t="shared" si="51"/>
        <v>5.8679135276496739</v>
      </c>
      <c r="D1568" s="29">
        <f t="shared" si="52"/>
        <v>-1.4302379419209865E-3</v>
      </c>
    </row>
    <row r="1569" spans="1:4" x14ac:dyDescent="0.3">
      <c r="A1569" s="26">
        <v>44427</v>
      </c>
      <c r="B1569" s="27">
        <v>353.18240356445313</v>
      </c>
      <c r="C1569" s="27">
        <f t="shared" si="51"/>
        <v>5.8669846474560536</v>
      </c>
      <c r="D1569" s="29">
        <f t="shared" si="52"/>
        <v>-1.5829820757295998E-4</v>
      </c>
    </row>
    <row r="1570" spans="1:4" x14ac:dyDescent="0.3">
      <c r="A1570" s="26">
        <v>44428</v>
      </c>
      <c r="B1570" s="27">
        <v>357.40924072265619</v>
      </c>
      <c r="C1570" s="27">
        <f t="shared" si="51"/>
        <v>5.8788814577986264</v>
      </c>
      <c r="D1570" s="29">
        <f t="shared" si="52"/>
        <v>2.0277554923773256E-3</v>
      </c>
    </row>
    <row r="1571" spans="1:4" x14ac:dyDescent="0.3">
      <c r="A1571" s="26">
        <v>44431</v>
      </c>
      <c r="B1571" s="27">
        <v>361.36752319335938</v>
      </c>
      <c r="C1571" s="27">
        <f t="shared" si="51"/>
        <v>5.8898955102389969</v>
      </c>
      <c r="D1571" s="29">
        <f t="shared" si="52"/>
        <v>1.8734945617520093E-3</v>
      </c>
    </row>
    <row r="1572" spans="1:4" x14ac:dyDescent="0.3">
      <c r="A1572" s="26">
        <v>44432</v>
      </c>
      <c r="B1572" s="27">
        <v>363.5157470703125</v>
      </c>
      <c r="C1572" s="27">
        <f t="shared" si="51"/>
        <v>5.8958226167238781</v>
      </c>
      <c r="D1572" s="29">
        <f t="shared" si="52"/>
        <v>1.0063177648189647E-3</v>
      </c>
    </row>
    <row r="1573" spans="1:4" x14ac:dyDescent="0.3">
      <c r="A1573" s="26">
        <v>44433</v>
      </c>
      <c r="B1573" s="27">
        <v>366.3800048828125</v>
      </c>
      <c r="C1573" s="27">
        <f t="shared" si="51"/>
        <v>5.9036710594844939</v>
      </c>
      <c r="D1573" s="29">
        <f t="shared" si="52"/>
        <v>1.3311870574859164E-3</v>
      </c>
    </row>
    <row r="1574" spans="1:4" x14ac:dyDescent="0.3">
      <c r="A1574" s="26">
        <v>44434</v>
      </c>
      <c r="B1574" s="27">
        <v>362.39190673828119</v>
      </c>
      <c r="C1574" s="27">
        <f t="shared" si="51"/>
        <v>5.8927262415195658</v>
      </c>
      <c r="D1574" s="29">
        <f t="shared" si="52"/>
        <v>-1.8539003705744239E-3</v>
      </c>
    </row>
    <row r="1575" spans="1:4" x14ac:dyDescent="0.3">
      <c r="A1575" s="26">
        <v>44435</v>
      </c>
      <c r="B1575" s="27">
        <v>370.59689331054688</v>
      </c>
      <c r="C1575" s="27">
        <f t="shared" si="51"/>
        <v>5.915114930951975</v>
      </c>
      <c r="D1575" s="29">
        <f t="shared" si="52"/>
        <v>3.7993771498598949E-3</v>
      </c>
    </row>
    <row r="1576" spans="1:4" x14ac:dyDescent="0.3">
      <c r="A1576" s="26">
        <v>44438</v>
      </c>
      <c r="B1576" s="27">
        <v>378.58306884765619</v>
      </c>
      <c r="C1576" s="27">
        <f t="shared" si="51"/>
        <v>5.9364355173517165</v>
      </c>
      <c r="D1576" s="29">
        <f t="shared" si="52"/>
        <v>3.6044247066404633E-3</v>
      </c>
    </row>
    <row r="1577" spans="1:4" x14ac:dyDescent="0.3">
      <c r="A1577" s="26">
        <v>44439</v>
      </c>
      <c r="B1577" s="27">
        <v>377.31005859375</v>
      </c>
      <c r="C1577" s="27">
        <f t="shared" si="51"/>
        <v>5.9330672860205542</v>
      </c>
      <c r="D1577" s="29">
        <f t="shared" si="52"/>
        <v>-5.6738278741796933E-4</v>
      </c>
    </row>
    <row r="1578" spans="1:4" x14ac:dyDescent="0.3">
      <c r="A1578" s="26">
        <v>44440</v>
      </c>
      <c r="B1578" s="27">
        <v>379.96551513671881</v>
      </c>
      <c r="C1578" s="27">
        <f t="shared" si="51"/>
        <v>5.94008049896222</v>
      </c>
      <c r="D1578" s="29">
        <f t="shared" si="52"/>
        <v>1.1820551838659377E-3</v>
      </c>
    </row>
    <row r="1579" spans="1:4" x14ac:dyDescent="0.3">
      <c r="A1579" s="26">
        <v>44441</v>
      </c>
      <c r="B1579" s="27">
        <v>373.232421875</v>
      </c>
      <c r="C1579" s="27">
        <f t="shared" si="51"/>
        <v>5.9222013405346861</v>
      </c>
      <c r="D1579" s="29">
        <f t="shared" si="52"/>
        <v>-3.0099185407769236E-3</v>
      </c>
    </row>
    <row r="1580" spans="1:4" x14ac:dyDescent="0.3">
      <c r="A1580" s="26">
        <v>44442</v>
      </c>
      <c r="B1580" s="27">
        <v>374.20706176757813</v>
      </c>
      <c r="C1580" s="27">
        <f t="shared" si="51"/>
        <v>5.9248092853016283</v>
      </c>
      <c r="D1580" s="29">
        <f t="shared" si="52"/>
        <v>4.4036746084463729E-4</v>
      </c>
    </row>
    <row r="1581" spans="1:4" x14ac:dyDescent="0.3">
      <c r="A1581" s="26">
        <v>44446</v>
      </c>
      <c r="B1581" s="27">
        <v>380.09478759765619</v>
      </c>
      <c r="C1581" s="27">
        <f t="shared" si="51"/>
        <v>5.9404206626616496</v>
      </c>
      <c r="D1581" s="29">
        <f t="shared" si="52"/>
        <v>2.6349164349896981E-3</v>
      </c>
    </row>
    <row r="1582" spans="1:4" x14ac:dyDescent="0.3">
      <c r="A1582" s="26">
        <v>44447</v>
      </c>
      <c r="B1582" s="27">
        <v>375.50994873046881</v>
      </c>
      <c r="C1582" s="27">
        <f t="shared" si="51"/>
        <v>5.9282849654749672</v>
      </c>
      <c r="D1582" s="29">
        <f t="shared" si="52"/>
        <v>-2.0429019889047773E-3</v>
      </c>
    </row>
    <row r="1583" spans="1:4" x14ac:dyDescent="0.3">
      <c r="A1583" s="26">
        <v>44448</v>
      </c>
      <c r="B1583" s="27">
        <v>375.93759155273438</v>
      </c>
      <c r="C1583" s="27">
        <f t="shared" si="51"/>
        <v>5.9294231497007637</v>
      </c>
      <c r="D1583" s="29">
        <f t="shared" si="52"/>
        <v>1.9199215834353467E-4</v>
      </c>
    </row>
    <row r="1584" spans="1:4" x14ac:dyDescent="0.3">
      <c r="A1584" s="26">
        <v>44449</v>
      </c>
      <c r="B1584" s="27">
        <v>376.62380981445313</v>
      </c>
      <c r="C1584" s="27">
        <f t="shared" si="51"/>
        <v>5.9312468373112619</v>
      </c>
      <c r="D1584" s="29">
        <f t="shared" si="52"/>
        <v>3.0756577232815552E-4</v>
      </c>
    </row>
    <row r="1585" spans="1:4" x14ac:dyDescent="0.3">
      <c r="A1585" s="26">
        <v>44452</v>
      </c>
      <c r="B1585" s="27">
        <v>374.4556884765625</v>
      </c>
      <c r="C1585" s="27">
        <f t="shared" si="51"/>
        <v>5.9254734741317616</v>
      </c>
      <c r="D1585" s="29">
        <f t="shared" si="52"/>
        <v>-9.7338103401500842E-4</v>
      </c>
    </row>
    <row r="1586" spans="1:4" x14ac:dyDescent="0.3">
      <c r="A1586" s="26">
        <v>44453</v>
      </c>
      <c r="B1586" s="27">
        <v>374.47561645507813</v>
      </c>
      <c r="C1586" s="27">
        <f t="shared" si="51"/>
        <v>5.9255266912382947</v>
      </c>
      <c r="D1586" s="29">
        <f t="shared" si="52"/>
        <v>8.9810724435146483E-6</v>
      </c>
    </row>
    <row r="1587" spans="1:4" x14ac:dyDescent="0.3">
      <c r="A1587" s="26">
        <v>44454</v>
      </c>
      <c r="B1587" s="27">
        <v>371.87985229492188</v>
      </c>
      <c r="C1587" s="27">
        <f t="shared" si="51"/>
        <v>5.9185708244027921</v>
      </c>
      <c r="D1587" s="29">
        <f t="shared" si="52"/>
        <v>-1.1738816138973096E-3</v>
      </c>
    </row>
    <row r="1588" spans="1:4" x14ac:dyDescent="0.3">
      <c r="A1588" s="26">
        <v>44455</v>
      </c>
      <c r="B1588" s="27">
        <v>371.0245361328125</v>
      </c>
      <c r="C1588" s="27">
        <f t="shared" si="51"/>
        <v>5.9162681955494785</v>
      </c>
      <c r="D1588" s="29">
        <f t="shared" si="52"/>
        <v>-3.8905149936196981E-4</v>
      </c>
    </row>
    <row r="1589" spans="1:4" x14ac:dyDescent="0.3">
      <c r="A1589" s="26">
        <v>44456</v>
      </c>
      <c r="B1589" s="27">
        <v>362.73004150390619</v>
      </c>
      <c r="C1589" s="27">
        <f t="shared" si="51"/>
        <v>5.8936588702751944</v>
      </c>
      <c r="D1589" s="29">
        <f t="shared" si="52"/>
        <v>-3.8215517834860879E-3</v>
      </c>
    </row>
    <row r="1590" spans="1:4" x14ac:dyDescent="0.3">
      <c r="A1590" s="26">
        <v>44459</v>
      </c>
      <c r="B1590" s="27">
        <v>353.75930786132813</v>
      </c>
      <c r="C1590" s="27">
        <f t="shared" si="51"/>
        <v>5.8686167605867796</v>
      </c>
      <c r="D1590" s="29">
        <f t="shared" si="52"/>
        <v>-4.2489920505435208E-3</v>
      </c>
    </row>
    <row r="1591" spans="1:4" x14ac:dyDescent="0.3">
      <c r="A1591" s="26">
        <v>44460</v>
      </c>
      <c r="B1591" s="27">
        <v>355.52957153320313</v>
      </c>
      <c r="C1591" s="27">
        <f t="shared" si="51"/>
        <v>5.8736084287182546</v>
      </c>
      <c r="D1591" s="29">
        <f t="shared" si="52"/>
        <v>8.505697909937382E-4</v>
      </c>
    </row>
    <row r="1592" spans="1:4" x14ac:dyDescent="0.3">
      <c r="A1592" s="26">
        <v>44461</v>
      </c>
      <c r="B1592" s="27">
        <v>341.33740234375</v>
      </c>
      <c r="C1592" s="27">
        <f t="shared" si="51"/>
        <v>5.8328714377892448</v>
      </c>
      <c r="D1592" s="29">
        <f t="shared" si="52"/>
        <v>-6.9355986908884448E-3</v>
      </c>
    </row>
    <row r="1593" spans="1:4" x14ac:dyDescent="0.3">
      <c r="A1593" s="26">
        <v>44462</v>
      </c>
      <c r="B1593" s="27">
        <v>344.0723876953125</v>
      </c>
      <c r="C1593" s="27">
        <f t="shared" si="51"/>
        <v>5.8408520645830873</v>
      </c>
      <c r="D1593" s="29">
        <f t="shared" si="52"/>
        <v>1.3682157885632762E-3</v>
      </c>
    </row>
    <row r="1594" spans="1:4" x14ac:dyDescent="0.3">
      <c r="A1594" s="26">
        <v>44463</v>
      </c>
      <c r="B1594" s="27">
        <v>351.0341796875</v>
      </c>
      <c r="C1594" s="27">
        <f t="shared" si="51"/>
        <v>5.8608835967519992</v>
      </c>
      <c r="D1594" s="29">
        <f t="shared" si="52"/>
        <v>3.4295565009043738E-3</v>
      </c>
    </row>
    <row r="1595" spans="1:4" x14ac:dyDescent="0.3">
      <c r="A1595" s="26">
        <v>44466</v>
      </c>
      <c r="B1595" s="27">
        <v>351.65078735351563</v>
      </c>
      <c r="C1595" s="27">
        <f t="shared" si="51"/>
        <v>5.8626386017775856</v>
      </c>
      <c r="D1595" s="29">
        <f t="shared" si="52"/>
        <v>2.9944376075974333E-4</v>
      </c>
    </row>
    <row r="1596" spans="1:4" x14ac:dyDescent="0.3">
      <c r="A1596" s="26">
        <v>44467</v>
      </c>
      <c r="B1596" s="27">
        <v>338.7913818359375</v>
      </c>
      <c r="C1596" s="27">
        <f t="shared" si="51"/>
        <v>5.8253845251342282</v>
      </c>
      <c r="D1596" s="29">
        <f t="shared" si="52"/>
        <v>-6.3544897057208338E-3</v>
      </c>
    </row>
    <row r="1597" spans="1:4" x14ac:dyDescent="0.3">
      <c r="A1597" s="26">
        <v>44468</v>
      </c>
      <c r="B1597" s="27">
        <v>337.75701904296881</v>
      </c>
      <c r="C1597" s="27">
        <f t="shared" si="51"/>
        <v>5.8223267583948184</v>
      </c>
      <c r="D1597" s="29">
        <f t="shared" si="52"/>
        <v>-5.2490384561165726E-4</v>
      </c>
    </row>
    <row r="1598" spans="1:4" x14ac:dyDescent="0.3">
      <c r="A1598" s="26">
        <v>44469</v>
      </c>
      <c r="B1598" s="27">
        <v>337.53826904296881</v>
      </c>
      <c r="C1598" s="27">
        <f t="shared" si="51"/>
        <v>5.8216788936413968</v>
      </c>
      <c r="D1598" s="29">
        <f t="shared" si="52"/>
        <v>-1.1127248268705259E-4</v>
      </c>
    </row>
    <row r="1599" spans="1:4" x14ac:dyDescent="0.3">
      <c r="A1599" s="26">
        <v>44470</v>
      </c>
      <c r="B1599" s="27">
        <v>341.13848876953119</v>
      </c>
      <c r="C1599" s="27">
        <f t="shared" si="51"/>
        <v>5.8322885202607537</v>
      </c>
      <c r="D1599" s="29">
        <f t="shared" si="52"/>
        <v>1.8224341831949431E-3</v>
      </c>
    </row>
    <row r="1600" spans="1:4" x14ac:dyDescent="0.3">
      <c r="A1600" s="26">
        <v>44473</v>
      </c>
      <c r="B1600" s="27">
        <v>324.45004272460938</v>
      </c>
      <c r="C1600" s="27">
        <f t="shared" si="51"/>
        <v>5.7821315727503535</v>
      </c>
      <c r="D1600" s="29">
        <f t="shared" si="52"/>
        <v>-8.5998741893786868E-3</v>
      </c>
    </row>
    <row r="1601" spans="1:4" x14ac:dyDescent="0.3">
      <c r="A1601" s="26">
        <v>44474</v>
      </c>
      <c r="B1601" s="27">
        <v>331.14334106445313</v>
      </c>
      <c r="C1601" s="27">
        <f t="shared" si="51"/>
        <v>5.8025513362113799</v>
      </c>
      <c r="D1601" s="29">
        <f t="shared" si="52"/>
        <v>3.5315286765973397E-3</v>
      </c>
    </row>
    <row r="1602" spans="1:4" x14ac:dyDescent="0.3">
      <c r="A1602" s="26">
        <v>44475</v>
      </c>
      <c r="B1602" s="27">
        <v>331.81964111328119</v>
      </c>
      <c r="C1602" s="27">
        <f t="shared" si="51"/>
        <v>5.8045915716441376</v>
      </c>
      <c r="D1602" s="29">
        <f t="shared" si="52"/>
        <v>3.5161006159922792E-4</v>
      </c>
    </row>
    <row r="1603" spans="1:4" x14ac:dyDescent="0.3">
      <c r="A1603" s="26">
        <v>44476</v>
      </c>
      <c r="B1603" s="27">
        <v>327.42376708984381</v>
      </c>
      <c r="C1603" s="27">
        <f t="shared" ref="C1603:C1666" si="53">LN(B1603)</f>
        <v>5.7912552557348915</v>
      </c>
      <c r="D1603" s="29">
        <f t="shared" si="52"/>
        <v>-2.2975459590292013E-3</v>
      </c>
    </row>
    <row r="1604" spans="1:4" x14ac:dyDescent="0.3">
      <c r="A1604" s="26">
        <v>44477</v>
      </c>
      <c r="B1604" s="27">
        <v>328.24920654296881</v>
      </c>
      <c r="C1604" s="27">
        <f t="shared" si="53"/>
        <v>5.7937730959460731</v>
      </c>
      <c r="D1604" s="29">
        <f t="shared" ref="D1604:D1667" si="54">C1604/C1603-1</f>
        <v>4.3476588407820316E-4</v>
      </c>
    </row>
    <row r="1605" spans="1:4" x14ac:dyDescent="0.3">
      <c r="A1605" s="26">
        <v>44480</v>
      </c>
      <c r="B1605" s="27">
        <v>323.67434692382813</v>
      </c>
      <c r="C1605" s="27">
        <f t="shared" si="53"/>
        <v>5.7797379082515601</v>
      </c>
      <c r="D1605" s="29">
        <f t="shared" si="54"/>
        <v>-2.4224607111958951E-3</v>
      </c>
    </row>
    <row r="1606" spans="1:4" x14ac:dyDescent="0.3">
      <c r="A1606" s="26">
        <v>44481</v>
      </c>
      <c r="B1606" s="27">
        <v>322.00344848632813</v>
      </c>
      <c r="C1606" s="27">
        <f t="shared" si="53"/>
        <v>5.7745622550719311</v>
      </c>
      <c r="D1606" s="29">
        <f t="shared" si="54"/>
        <v>-8.9548233186143023E-4</v>
      </c>
    </row>
    <row r="1607" spans="1:4" x14ac:dyDescent="0.3">
      <c r="A1607" s="26">
        <v>44482</v>
      </c>
      <c r="B1607" s="27">
        <v>322.76925659179688</v>
      </c>
      <c r="C1607" s="27">
        <f t="shared" si="53"/>
        <v>5.7769376920578317</v>
      </c>
      <c r="D1607" s="29">
        <f t="shared" si="54"/>
        <v>4.1136226106397444E-4</v>
      </c>
    </row>
    <row r="1608" spans="1:4" x14ac:dyDescent="0.3">
      <c r="A1608" s="26">
        <v>44483</v>
      </c>
      <c r="B1608" s="27">
        <v>326.73748779296881</v>
      </c>
      <c r="C1608" s="27">
        <f t="shared" si="53"/>
        <v>5.7891570588651522</v>
      </c>
      <c r="D1608" s="29">
        <f t="shared" si="54"/>
        <v>2.1151979575821933E-3</v>
      </c>
    </row>
    <row r="1609" spans="1:4" x14ac:dyDescent="0.3">
      <c r="A1609" s="26">
        <v>44484</v>
      </c>
      <c r="B1609" s="27">
        <v>322.98806762695313</v>
      </c>
      <c r="C1609" s="27">
        <f t="shared" si="53"/>
        <v>5.7776153802088572</v>
      </c>
      <c r="D1609" s="29">
        <f t="shared" si="54"/>
        <v>-1.993671710568079E-3</v>
      </c>
    </row>
    <row r="1610" spans="1:4" x14ac:dyDescent="0.3">
      <c r="A1610" s="26">
        <v>44487</v>
      </c>
      <c r="B1610" s="27">
        <v>333.51034545898438</v>
      </c>
      <c r="C1610" s="27">
        <f t="shared" si="53"/>
        <v>5.809673885741061</v>
      </c>
      <c r="D1610" s="29">
        <f t="shared" si="54"/>
        <v>5.5487434559973181E-3</v>
      </c>
    </row>
    <row r="1611" spans="1:4" x14ac:dyDescent="0.3">
      <c r="A1611" s="26">
        <v>44488</v>
      </c>
      <c r="B1611" s="27">
        <v>338.13497924804688</v>
      </c>
      <c r="C1611" s="27">
        <f t="shared" si="53"/>
        <v>5.8234451626529857</v>
      </c>
      <c r="D1611" s="29">
        <f t="shared" si="54"/>
        <v>2.370404463789999E-3</v>
      </c>
    </row>
    <row r="1612" spans="1:4" x14ac:dyDescent="0.3">
      <c r="A1612" s="26">
        <v>44489</v>
      </c>
      <c r="B1612" s="27">
        <v>338.920654296875</v>
      </c>
      <c r="C1612" s="27">
        <f t="shared" si="53"/>
        <v>5.8257660218632603</v>
      </c>
      <c r="D1612" s="29">
        <f t="shared" si="54"/>
        <v>3.985371451866726E-4</v>
      </c>
    </row>
    <row r="1613" spans="1:4" x14ac:dyDescent="0.3">
      <c r="A1613" s="26">
        <v>44490</v>
      </c>
      <c r="B1613" s="27">
        <v>340.01467895507813</v>
      </c>
      <c r="C1613" s="27">
        <f t="shared" si="53"/>
        <v>5.8289887900755515</v>
      </c>
      <c r="D1613" s="29">
        <f t="shared" si="54"/>
        <v>5.5319218111349322E-4</v>
      </c>
    </row>
    <row r="1614" spans="1:4" x14ac:dyDescent="0.3">
      <c r="A1614" s="26">
        <v>44491</v>
      </c>
      <c r="B1614" s="27">
        <v>322.8388671875</v>
      </c>
      <c r="C1614" s="27">
        <f t="shared" si="53"/>
        <v>5.7771533355524189</v>
      </c>
      <c r="D1614" s="29">
        <f t="shared" si="54"/>
        <v>-8.8927010138341034E-3</v>
      </c>
    </row>
    <row r="1615" spans="1:4" x14ac:dyDescent="0.3">
      <c r="A1615" s="26">
        <v>44494</v>
      </c>
      <c r="B1615" s="27">
        <v>326.89663696289063</v>
      </c>
      <c r="C1615" s="27">
        <f t="shared" si="53"/>
        <v>5.7896440260140185</v>
      </c>
      <c r="D1615" s="29">
        <f t="shared" si="54"/>
        <v>2.1620839427494154E-3</v>
      </c>
    </row>
    <row r="1616" spans="1:4" x14ac:dyDescent="0.3">
      <c r="A1616" s="26">
        <v>44495</v>
      </c>
      <c r="B1616" s="27">
        <v>314.08685302734381</v>
      </c>
      <c r="C1616" s="27">
        <f t="shared" si="53"/>
        <v>5.7496695496588837</v>
      </c>
      <c r="D1616" s="29">
        <f t="shared" si="54"/>
        <v>-6.9044791312767861E-3</v>
      </c>
    </row>
    <row r="1617" spans="1:4" x14ac:dyDescent="0.3">
      <c r="A1617" s="26">
        <v>44496</v>
      </c>
      <c r="B1617" s="27">
        <v>310.5164794921875</v>
      </c>
      <c r="C1617" s="27">
        <f t="shared" si="53"/>
        <v>5.7382369740140691</v>
      </c>
      <c r="D1617" s="29">
        <f t="shared" si="54"/>
        <v>-1.9883882971140077E-3</v>
      </c>
    </row>
    <row r="1618" spans="1:4" x14ac:dyDescent="0.3">
      <c r="A1618" s="26">
        <v>44497</v>
      </c>
      <c r="B1618" s="27">
        <v>315.19088745117188</v>
      </c>
      <c r="C1618" s="27">
        <f t="shared" si="53"/>
        <v>5.7531784471951637</v>
      </c>
      <c r="D1618" s="29">
        <f t="shared" si="54"/>
        <v>2.6038438720390467E-3</v>
      </c>
    </row>
    <row r="1619" spans="1:4" x14ac:dyDescent="0.3">
      <c r="A1619" s="26">
        <v>44498</v>
      </c>
      <c r="B1619" s="27">
        <v>321.80459594726563</v>
      </c>
      <c r="C1619" s="27">
        <f t="shared" si="53"/>
        <v>5.7739445164552574</v>
      </c>
      <c r="D1619" s="29">
        <f t="shared" si="54"/>
        <v>3.6094950731482278E-3</v>
      </c>
    </row>
    <row r="1620" spans="1:4" x14ac:dyDescent="0.3">
      <c r="A1620" s="26">
        <v>44501</v>
      </c>
      <c r="B1620" s="27">
        <v>328.17962646484381</v>
      </c>
      <c r="C1620" s="27">
        <f t="shared" si="53"/>
        <v>5.7935611001442835</v>
      </c>
      <c r="D1620" s="29">
        <f t="shared" si="54"/>
        <v>3.3974319692751109E-3</v>
      </c>
    </row>
    <row r="1621" spans="1:4" x14ac:dyDescent="0.3">
      <c r="A1621" s="26">
        <v>44502</v>
      </c>
      <c r="B1621" s="27">
        <v>326.28994750976563</v>
      </c>
      <c r="C1621" s="27">
        <f t="shared" si="53"/>
        <v>5.7877863956155675</v>
      </c>
      <c r="D1621" s="29">
        <f t="shared" si="54"/>
        <v>-9.9674525372173139E-4</v>
      </c>
    </row>
    <row r="1622" spans="1:4" x14ac:dyDescent="0.3">
      <c r="A1622" s="26">
        <v>44503</v>
      </c>
      <c r="B1622" s="27">
        <v>329.81060791015619</v>
      </c>
      <c r="C1622" s="27">
        <f t="shared" si="53"/>
        <v>5.7985185742842607</v>
      </c>
      <c r="D1622" s="29">
        <f t="shared" si="54"/>
        <v>1.8542803647390027E-3</v>
      </c>
    </row>
    <row r="1623" spans="1:4" x14ac:dyDescent="0.3">
      <c r="A1623" s="26">
        <v>44504</v>
      </c>
      <c r="B1623" s="27">
        <v>334.017578125</v>
      </c>
      <c r="C1623" s="27">
        <f t="shared" si="53"/>
        <v>5.8111936207086039</v>
      </c>
      <c r="D1623" s="29">
        <f t="shared" si="54"/>
        <v>2.185911153334219E-3</v>
      </c>
    </row>
    <row r="1624" spans="1:4" x14ac:dyDescent="0.3">
      <c r="A1624" s="26">
        <v>44505</v>
      </c>
      <c r="B1624" s="27">
        <v>339.268798828125</v>
      </c>
      <c r="C1624" s="27">
        <f t="shared" si="53"/>
        <v>5.8267927100850461</v>
      </c>
      <c r="D1624" s="29">
        <f t="shared" si="54"/>
        <v>2.6843176109041522E-3</v>
      </c>
    </row>
    <row r="1625" spans="1:4" x14ac:dyDescent="0.3">
      <c r="A1625" s="26">
        <v>44508</v>
      </c>
      <c r="B1625" s="27">
        <v>336.7724609375</v>
      </c>
      <c r="C1625" s="27">
        <f t="shared" si="53"/>
        <v>5.8194075122124351</v>
      </c>
      <c r="D1625" s="29">
        <f t="shared" si="54"/>
        <v>-1.2674550546184493E-3</v>
      </c>
    </row>
    <row r="1626" spans="1:4" x14ac:dyDescent="0.3">
      <c r="A1626" s="26">
        <v>44509</v>
      </c>
      <c r="B1626" s="27">
        <v>333.54019165039063</v>
      </c>
      <c r="C1626" s="27">
        <f t="shared" si="53"/>
        <v>5.8097633727881908</v>
      </c>
      <c r="D1626" s="29">
        <f t="shared" si="54"/>
        <v>-1.6572373397129025E-3</v>
      </c>
    </row>
    <row r="1627" spans="1:4" x14ac:dyDescent="0.3">
      <c r="A1627" s="26">
        <v>44510</v>
      </c>
      <c r="B1627" s="27">
        <v>325.85238647460938</v>
      </c>
      <c r="C1627" s="27">
        <f t="shared" si="53"/>
        <v>5.7864444765956993</v>
      </c>
      <c r="D1627" s="29">
        <f t="shared" si="54"/>
        <v>-4.0137428490999438E-3</v>
      </c>
    </row>
    <row r="1628" spans="1:4" x14ac:dyDescent="0.3">
      <c r="A1628" s="26">
        <v>44511</v>
      </c>
      <c r="B1628" s="27">
        <v>325.9517822265625</v>
      </c>
      <c r="C1628" s="27">
        <f t="shared" si="53"/>
        <v>5.7867494631468643</v>
      </c>
      <c r="D1628" s="29">
        <f t="shared" si="54"/>
        <v>5.2707072952795642E-5</v>
      </c>
    </row>
    <row r="1629" spans="1:4" x14ac:dyDescent="0.3">
      <c r="A1629" s="26">
        <v>44512</v>
      </c>
      <c r="B1629" s="27">
        <v>339.03009033203119</v>
      </c>
      <c r="C1629" s="27">
        <f t="shared" si="53"/>
        <v>5.8260888654827232</v>
      </c>
      <c r="D1629" s="29">
        <f t="shared" si="54"/>
        <v>6.7981865443447198E-3</v>
      </c>
    </row>
    <row r="1630" spans="1:4" x14ac:dyDescent="0.3">
      <c r="A1630" s="26">
        <v>44515</v>
      </c>
      <c r="B1630" s="27">
        <v>345.66363525390619</v>
      </c>
      <c r="C1630" s="27">
        <f t="shared" si="53"/>
        <v>5.8454661497657003</v>
      </c>
      <c r="D1630" s="29">
        <f t="shared" si="54"/>
        <v>3.3259506901412994E-3</v>
      </c>
    </row>
    <row r="1631" spans="1:4" x14ac:dyDescent="0.3">
      <c r="A1631" s="26">
        <v>44516</v>
      </c>
      <c r="B1631" s="27">
        <v>341.0887451171875</v>
      </c>
      <c r="C1631" s="27">
        <f t="shared" si="53"/>
        <v>5.8321426930349816</v>
      </c>
      <c r="D1631" s="29">
        <f t="shared" si="54"/>
        <v>-2.2792804524670585E-3</v>
      </c>
    </row>
    <row r="1632" spans="1:4" x14ac:dyDescent="0.3">
      <c r="A1632" s="26">
        <v>44517</v>
      </c>
      <c r="B1632" s="27">
        <v>338.91070556640619</v>
      </c>
      <c r="C1632" s="27">
        <f t="shared" si="53"/>
        <v>5.8257366672743212</v>
      </c>
      <c r="D1632" s="29">
        <f t="shared" si="54"/>
        <v>-1.098400038858971E-3</v>
      </c>
    </row>
    <row r="1633" spans="1:4" x14ac:dyDescent="0.3">
      <c r="A1633" s="26">
        <v>44518</v>
      </c>
      <c r="B1633" s="27">
        <v>336.84207153320313</v>
      </c>
      <c r="C1633" s="27">
        <f t="shared" si="53"/>
        <v>5.8196141900455149</v>
      </c>
      <c r="D1633" s="29">
        <f t="shared" si="54"/>
        <v>-1.050936143955683E-3</v>
      </c>
    </row>
    <row r="1634" spans="1:4" x14ac:dyDescent="0.3">
      <c r="A1634" s="26">
        <v>44519</v>
      </c>
      <c r="B1634" s="27">
        <v>343.41598510742188</v>
      </c>
      <c r="C1634" s="27">
        <f t="shared" si="53"/>
        <v>5.8389424969065429</v>
      </c>
      <c r="D1634" s="29">
        <f t="shared" si="54"/>
        <v>3.3212350904787691E-3</v>
      </c>
    </row>
    <row r="1635" spans="1:4" x14ac:dyDescent="0.3">
      <c r="A1635" s="26">
        <v>44522</v>
      </c>
      <c r="B1635" s="27">
        <v>339.1494140625</v>
      </c>
      <c r="C1635" s="27">
        <f t="shared" si="53"/>
        <v>5.8264407597258456</v>
      </c>
      <c r="D1635" s="29">
        <f t="shared" si="54"/>
        <v>-2.1410961295338371E-3</v>
      </c>
    </row>
    <row r="1636" spans="1:4" x14ac:dyDescent="0.3">
      <c r="A1636" s="26">
        <v>44523</v>
      </c>
      <c r="B1636" s="27">
        <v>335.409912109375</v>
      </c>
      <c r="C1636" s="27">
        <f t="shared" si="53"/>
        <v>5.8153534020513362</v>
      </c>
      <c r="D1636" s="29">
        <f t="shared" si="54"/>
        <v>-1.9029383686776091E-3</v>
      </c>
    </row>
    <row r="1637" spans="1:4" x14ac:dyDescent="0.3">
      <c r="A1637" s="26">
        <v>44524</v>
      </c>
      <c r="B1637" s="27">
        <v>339.19912719726563</v>
      </c>
      <c r="C1637" s="27">
        <f t="shared" si="53"/>
        <v>5.8265873307931688</v>
      </c>
      <c r="D1637" s="29">
        <f t="shared" si="54"/>
        <v>1.9317706019155167E-3</v>
      </c>
    </row>
    <row r="1638" spans="1:4" x14ac:dyDescent="0.3">
      <c r="A1638" s="26">
        <v>44526</v>
      </c>
      <c r="B1638" s="27">
        <v>331.30245971679688</v>
      </c>
      <c r="C1638" s="27">
        <f t="shared" si="53"/>
        <v>5.8030317337177602</v>
      </c>
      <c r="D1638" s="29">
        <f t="shared" si="54"/>
        <v>-4.0427776566428486E-3</v>
      </c>
    </row>
    <row r="1639" spans="1:4" x14ac:dyDescent="0.3">
      <c r="A1639" s="26">
        <v>44529</v>
      </c>
      <c r="B1639" s="27">
        <v>336.18563842773438</v>
      </c>
      <c r="C1639" s="27">
        <f t="shared" si="53"/>
        <v>5.8176635027144963</v>
      </c>
      <c r="D1639" s="29">
        <f t="shared" si="54"/>
        <v>2.5214008242828712E-3</v>
      </c>
    </row>
    <row r="1640" spans="1:4" x14ac:dyDescent="0.3">
      <c r="A1640" s="26">
        <v>44530</v>
      </c>
      <c r="B1640" s="27">
        <v>322.68972778320313</v>
      </c>
      <c r="C1640" s="27">
        <f t="shared" si="53"/>
        <v>5.7766912664570684</v>
      </c>
      <c r="D1640" s="29">
        <f t="shared" si="54"/>
        <v>-7.0427305117097827E-3</v>
      </c>
    </row>
    <row r="1641" spans="1:4" x14ac:dyDescent="0.3">
      <c r="A1641" s="26">
        <v>44531</v>
      </c>
      <c r="B1641" s="27">
        <v>308.90536499023438</v>
      </c>
      <c r="C1641" s="27">
        <f t="shared" si="53"/>
        <v>5.733034967822384</v>
      </c>
      <c r="D1641" s="29">
        <f t="shared" si="54"/>
        <v>-7.557318994729556E-3</v>
      </c>
    </row>
    <row r="1642" spans="1:4" x14ac:dyDescent="0.3">
      <c r="A1642" s="26">
        <v>44532</v>
      </c>
      <c r="B1642" s="27">
        <v>308.69647216796881</v>
      </c>
      <c r="C1642" s="27">
        <f t="shared" si="53"/>
        <v>5.7323585034155009</v>
      </c>
      <c r="D1642" s="29">
        <f t="shared" si="54"/>
        <v>-1.1799411841717511E-4</v>
      </c>
    </row>
    <row r="1643" spans="1:4" x14ac:dyDescent="0.3">
      <c r="A1643" s="26">
        <v>44533</v>
      </c>
      <c r="B1643" s="27">
        <v>305.1658935546875</v>
      </c>
      <c r="C1643" s="27">
        <f t="shared" si="53"/>
        <v>5.7208555420342488</v>
      </c>
      <c r="D1643" s="29">
        <f t="shared" si="54"/>
        <v>-2.0066716647952898E-3</v>
      </c>
    </row>
    <row r="1644" spans="1:4" x14ac:dyDescent="0.3">
      <c r="A1644" s="26">
        <v>44536</v>
      </c>
      <c r="B1644" s="27">
        <v>316.13568115234381</v>
      </c>
      <c r="C1644" s="27">
        <f t="shared" si="53"/>
        <v>5.7561714921689404</v>
      </c>
      <c r="D1644" s="29">
        <f t="shared" si="54"/>
        <v>6.1731938300497724E-3</v>
      </c>
    </row>
    <row r="1645" spans="1:4" x14ac:dyDescent="0.3">
      <c r="A1645" s="26">
        <v>44537</v>
      </c>
      <c r="B1645" s="27">
        <v>321.0487060546875</v>
      </c>
      <c r="C1645" s="27">
        <f t="shared" si="53"/>
        <v>5.7715928438774347</v>
      </c>
      <c r="D1645" s="29">
        <f t="shared" si="54"/>
        <v>2.6790987255111975E-3</v>
      </c>
    </row>
    <row r="1646" spans="1:4" x14ac:dyDescent="0.3">
      <c r="A1646" s="26">
        <v>44538</v>
      </c>
      <c r="B1646" s="27">
        <v>328.75640869140619</v>
      </c>
      <c r="C1646" s="27">
        <f t="shared" si="53"/>
        <v>5.7953170774203127</v>
      </c>
      <c r="D1646" s="29">
        <f t="shared" si="54"/>
        <v>4.1105175268980609E-3</v>
      </c>
    </row>
    <row r="1647" spans="1:4" x14ac:dyDescent="0.3">
      <c r="A1647" s="26">
        <v>44539</v>
      </c>
      <c r="B1647" s="27">
        <v>328.02047729492188</v>
      </c>
      <c r="C1647" s="27">
        <f t="shared" si="53"/>
        <v>5.7930760372126251</v>
      </c>
      <c r="D1647" s="29">
        <f t="shared" si="54"/>
        <v>-3.8669846321592871E-4</v>
      </c>
    </row>
    <row r="1648" spans="1:4" x14ac:dyDescent="0.3">
      <c r="A1648" s="26">
        <v>44540</v>
      </c>
      <c r="B1648" s="27">
        <v>327.95083618164063</v>
      </c>
      <c r="C1648" s="27">
        <f t="shared" si="53"/>
        <v>5.7928637074594418</v>
      </c>
      <c r="D1648" s="29">
        <f t="shared" si="54"/>
        <v>-3.6652333202491505E-5</v>
      </c>
    </row>
    <row r="1649" spans="1:4" x14ac:dyDescent="0.3">
      <c r="A1649" s="26">
        <v>44543</v>
      </c>
      <c r="B1649" s="27">
        <v>332.66497802734381</v>
      </c>
      <c r="C1649" s="27">
        <f t="shared" si="53"/>
        <v>5.807135911560362</v>
      </c>
      <c r="D1649" s="29">
        <f t="shared" si="54"/>
        <v>2.4637562389984158E-3</v>
      </c>
    </row>
    <row r="1650" spans="1:4" x14ac:dyDescent="0.3">
      <c r="A1650" s="26">
        <v>44544</v>
      </c>
      <c r="B1650" s="27">
        <v>331.9190673828125</v>
      </c>
      <c r="C1650" s="27">
        <f t="shared" si="53"/>
        <v>5.8048911662556995</v>
      </c>
      <c r="D1650" s="29">
        <f t="shared" si="54"/>
        <v>-3.8654946928207146E-4</v>
      </c>
    </row>
    <row r="1651" spans="1:4" x14ac:dyDescent="0.3">
      <c r="A1651" s="26">
        <v>44545</v>
      </c>
      <c r="B1651" s="27">
        <v>339.79583740234381</v>
      </c>
      <c r="C1651" s="27">
        <f t="shared" si="53"/>
        <v>5.8283449590225507</v>
      </c>
      <c r="D1651" s="29">
        <f t="shared" si="54"/>
        <v>4.0403501280419363E-3</v>
      </c>
    </row>
    <row r="1652" spans="1:4" x14ac:dyDescent="0.3">
      <c r="A1652" s="26">
        <v>44546</v>
      </c>
      <c r="B1652" s="27">
        <v>333.07275390625</v>
      </c>
      <c r="C1652" s="27">
        <f t="shared" si="53"/>
        <v>5.8083609463160695</v>
      </c>
      <c r="D1652" s="29">
        <f t="shared" si="54"/>
        <v>-3.4287628558334893E-3</v>
      </c>
    </row>
    <row r="1653" spans="1:4" x14ac:dyDescent="0.3">
      <c r="A1653" s="26">
        <v>44547</v>
      </c>
      <c r="B1653" s="27">
        <v>331.96881103515619</v>
      </c>
      <c r="C1653" s="27">
        <f t="shared" si="53"/>
        <v>5.8050410218384076</v>
      </c>
      <c r="D1653" s="29">
        <f t="shared" si="54"/>
        <v>-5.7157681975106289E-4</v>
      </c>
    </row>
    <row r="1654" spans="1:4" x14ac:dyDescent="0.3">
      <c r="A1654" s="26">
        <v>44550</v>
      </c>
      <c r="B1654" s="27">
        <v>323.67434692382813</v>
      </c>
      <c r="C1654" s="27">
        <f t="shared" si="53"/>
        <v>5.7797379082515601</v>
      </c>
      <c r="D1654" s="29">
        <f t="shared" si="54"/>
        <v>-4.3588173609209191E-3</v>
      </c>
    </row>
    <row r="1655" spans="1:4" x14ac:dyDescent="0.3">
      <c r="A1655" s="26">
        <v>44551</v>
      </c>
      <c r="B1655" s="27">
        <v>332.37652587890619</v>
      </c>
      <c r="C1655" s="27">
        <f t="shared" si="53"/>
        <v>5.806268440388016</v>
      </c>
      <c r="D1655" s="29">
        <f t="shared" si="54"/>
        <v>4.5902656067811076E-3</v>
      </c>
    </row>
    <row r="1656" spans="1:4" x14ac:dyDescent="0.3">
      <c r="A1656" s="26">
        <v>44552</v>
      </c>
      <c r="B1656" s="27">
        <v>328.64700317382813</v>
      </c>
      <c r="C1656" s="27">
        <f t="shared" si="53"/>
        <v>5.7949842360732386</v>
      </c>
      <c r="D1656" s="29">
        <f t="shared" si="54"/>
        <v>-1.9434520519728826E-3</v>
      </c>
    </row>
    <row r="1657" spans="1:4" x14ac:dyDescent="0.3">
      <c r="A1657" s="26">
        <v>44553</v>
      </c>
      <c r="B1657" s="27">
        <v>333.410888671875</v>
      </c>
      <c r="C1657" s="27">
        <f t="shared" si="53"/>
        <v>5.8093756292671124</v>
      </c>
      <c r="D1657" s="29">
        <f t="shared" si="54"/>
        <v>2.4834223196481542E-3</v>
      </c>
    </row>
    <row r="1658" spans="1:4" x14ac:dyDescent="0.3">
      <c r="A1658" s="26">
        <v>44557</v>
      </c>
      <c r="B1658" s="27">
        <v>344.29119873046881</v>
      </c>
      <c r="C1658" s="27">
        <f t="shared" si="53"/>
        <v>5.8414878072250307</v>
      </c>
      <c r="D1658" s="29">
        <f t="shared" si="54"/>
        <v>5.5276470325209548E-3</v>
      </c>
    </row>
    <row r="1659" spans="1:4" x14ac:dyDescent="0.3">
      <c r="A1659" s="26">
        <v>44558</v>
      </c>
      <c r="B1659" s="27">
        <v>344.33096313476563</v>
      </c>
      <c r="C1659" s="27">
        <f t="shared" si="53"/>
        <v>5.8416032969857241</v>
      </c>
      <c r="D1659" s="29">
        <f t="shared" si="54"/>
        <v>1.9770607164515397E-5</v>
      </c>
    </row>
    <row r="1660" spans="1:4" x14ac:dyDescent="0.3">
      <c r="A1660" s="26">
        <v>44559</v>
      </c>
      <c r="B1660" s="27">
        <v>341.06887817382813</v>
      </c>
      <c r="C1660" s="27">
        <f t="shared" si="53"/>
        <v>5.8320844456660845</v>
      </c>
      <c r="D1660" s="29">
        <f t="shared" si="54"/>
        <v>-1.6294929381033274E-3</v>
      </c>
    </row>
    <row r="1661" spans="1:4" x14ac:dyDescent="0.3">
      <c r="A1661" s="26">
        <v>44560</v>
      </c>
      <c r="B1661" s="27">
        <v>342.48110961914063</v>
      </c>
      <c r="C1661" s="27">
        <f t="shared" si="53"/>
        <v>5.8362165017845502</v>
      </c>
      <c r="D1661" s="29">
        <f t="shared" si="54"/>
        <v>7.0850416467060917E-4</v>
      </c>
    </row>
    <row r="1662" spans="1:4" x14ac:dyDescent="0.3">
      <c r="A1662" s="26">
        <v>44561</v>
      </c>
      <c r="B1662" s="27">
        <v>334.51483154296881</v>
      </c>
      <c r="C1662" s="27">
        <f t="shared" si="53"/>
        <v>5.8126812180261824</v>
      </c>
      <c r="D1662" s="29">
        <f t="shared" si="54"/>
        <v>-4.0326269169711493E-3</v>
      </c>
    </row>
    <row r="1663" spans="1:4" x14ac:dyDescent="0.3">
      <c r="A1663" s="26">
        <v>44564</v>
      </c>
      <c r="B1663" s="27">
        <v>336.69287109375</v>
      </c>
      <c r="C1663" s="27">
        <f t="shared" si="53"/>
        <v>5.8191711530701449</v>
      </c>
      <c r="D1663" s="29">
        <f t="shared" si="54"/>
        <v>1.1165131546928553E-3</v>
      </c>
    </row>
    <row r="1664" spans="1:4" x14ac:dyDescent="0.3">
      <c r="A1664" s="26">
        <v>44565</v>
      </c>
      <c r="B1664" s="27">
        <v>334.69384765625</v>
      </c>
      <c r="C1664" s="27">
        <f t="shared" si="53"/>
        <v>5.8132162263819183</v>
      </c>
      <c r="D1664" s="29">
        <f t="shared" si="54"/>
        <v>-1.0233290156940189E-3</v>
      </c>
    </row>
    <row r="1665" spans="1:4" x14ac:dyDescent="0.3">
      <c r="A1665" s="26">
        <v>44566</v>
      </c>
      <c r="B1665" s="27">
        <v>322.40130615234381</v>
      </c>
      <c r="C1665" s="27">
        <f t="shared" si="53"/>
        <v>5.7757970619652834</v>
      </c>
      <c r="D1665" s="29">
        <f t="shared" si="54"/>
        <v>-6.4369125385044246E-3</v>
      </c>
    </row>
    <row r="1666" spans="1:4" x14ac:dyDescent="0.3">
      <c r="A1666" s="26">
        <v>44567</v>
      </c>
      <c r="B1666" s="27">
        <v>330.64605712890619</v>
      </c>
      <c r="C1666" s="27">
        <f t="shared" si="53"/>
        <v>5.8010484894432102</v>
      </c>
      <c r="D1666" s="29">
        <f t="shared" si="54"/>
        <v>4.3719381423927839E-3</v>
      </c>
    </row>
    <row r="1667" spans="1:4" x14ac:dyDescent="0.3">
      <c r="A1667" s="26">
        <v>44568</v>
      </c>
      <c r="B1667" s="27">
        <v>329.97970581054688</v>
      </c>
      <c r="C1667" s="27">
        <f t="shared" ref="C1667:C1730" si="55">LN(B1667)</f>
        <v>5.799031155025677</v>
      </c>
      <c r="D1667" s="29">
        <f t="shared" si="54"/>
        <v>-3.4775341409476468E-4</v>
      </c>
    </row>
    <row r="1668" spans="1:4" x14ac:dyDescent="0.3">
      <c r="A1668" s="26">
        <v>44571</v>
      </c>
      <c r="B1668" s="27">
        <v>326.280029296875</v>
      </c>
      <c r="C1668" s="27">
        <f t="shared" si="55"/>
        <v>5.7877559982229698</v>
      </c>
      <c r="D1668" s="29">
        <f t="shared" ref="D1668:D1731" si="56">C1668/C1667-1</f>
        <v>-1.9443173353079768E-3</v>
      </c>
    </row>
    <row r="1669" spans="1:4" x14ac:dyDescent="0.3">
      <c r="A1669" s="26">
        <v>44572</v>
      </c>
      <c r="B1669" s="27">
        <v>332.54562377929688</v>
      </c>
      <c r="C1669" s="27">
        <f t="shared" si="55"/>
        <v>5.8067770650567025</v>
      </c>
      <c r="D1669" s="29">
        <f t="shared" si="56"/>
        <v>3.2864320540764158E-3</v>
      </c>
    </row>
    <row r="1670" spans="1:4" x14ac:dyDescent="0.3">
      <c r="A1670" s="26">
        <v>44573</v>
      </c>
      <c r="B1670" s="27">
        <v>331.44171142578119</v>
      </c>
      <c r="C1670" s="27">
        <f t="shared" si="55"/>
        <v>5.8034519613624438</v>
      </c>
      <c r="D1670" s="29">
        <f t="shared" si="56"/>
        <v>-5.7262465167950971E-4</v>
      </c>
    </row>
    <row r="1671" spans="1:4" x14ac:dyDescent="0.3">
      <c r="A1671" s="26">
        <v>44574</v>
      </c>
      <c r="B1671" s="27">
        <v>324.69869995117188</v>
      </c>
      <c r="C1671" s="27">
        <f t="shared" si="55"/>
        <v>5.7828976752546861</v>
      </c>
      <c r="D1671" s="29">
        <f t="shared" si="56"/>
        <v>-3.541734513286543E-3</v>
      </c>
    </row>
    <row r="1672" spans="1:4" x14ac:dyDescent="0.3">
      <c r="A1672" s="26">
        <v>44575</v>
      </c>
      <c r="B1672" s="27">
        <v>330.08908081054688</v>
      </c>
      <c r="C1672" s="27">
        <f t="shared" si="55"/>
        <v>5.7993625598829226</v>
      </c>
      <c r="D1672" s="29">
        <f t="shared" si="56"/>
        <v>2.8471685913951106E-3</v>
      </c>
    </row>
    <row r="1673" spans="1:4" x14ac:dyDescent="0.3">
      <c r="A1673" s="26">
        <v>44579</v>
      </c>
      <c r="B1673" s="27">
        <v>316.41412353515619</v>
      </c>
      <c r="C1673" s="27">
        <f t="shared" si="55"/>
        <v>5.7570518731246647</v>
      </c>
      <c r="D1673" s="29">
        <f t="shared" si="56"/>
        <v>-7.2957478207935633E-3</v>
      </c>
    </row>
    <row r="1674" spans="1:4" x14ac:dyDescent="0.3">
      <c r="A1674" s="26">
        <v>44580</v>
      </c>
      <c r="B1674" s="27">
        <v>317.84625244140619</v>
      </c>
      <c r="C1674" s="27">
        <f t="shared" si="55"/>
        <v>5.7615677829759795</v>
      </c>
      <c r="D1674" s="29">
        <f t="shared" si="56"/>
        <v>7.8441361148673394E-4</v>
      </c>
    </row>
    <row r="1675" spans="1:4" x14ac:dyDescent="0.3">
      <c r="A1675" s="26">
        <v>44581</v>
      </c>
      <c r="B1675" s="27">
        <v>314.83279418945313</v>
      </c>
      <c r="C1675" s="27">
        <f t="shared" si="55"/>
        <v>5.7520416857980434</v>
      </c>
      <c r="D1675" s="29">
        <f t="shared" si="56"/>
        <v>-1.6533862894199114E-3</v>
      </c>
    </row>
    <row r="1676" spans="1:4" x14ac:dyDescent="0.3">
      <c r="A1676" s="26">
        <v>44582</v>
      </c>
      <c r="B1676" s="27">
        <v>301.515869140625</v>
      </c>
      <c r="C1676" s="27">
        <f t="shared" si="55"/>
        <v>5.7088226487477103</v>
      </c>
      <c r="D1676" s="29">
        <f t="shared" si="56"/>
        <v>-7.5136863415024013E-3</v>
      </c>
    </row>
    <row r="1677" spans="1:4" x14ac:dyDescent="0.3">
      <c r="A1677" s="26">
        <v>44585</v>
      </c>
      <c r="B1677" s="27">
        <v>307.025634765625</v>
      </c>
      <c r="C1677" s="27">
        <f t="shared" si="55"/>
        <v>5.7269312449664218</v>
      </c>
      <c r="D1677" s="29">
        <f t="shared" si="56"/>
        <v>3.1720369212526744E-3</v>
      </c>
    </row>
    <row r="1678" spans="1:4" x14ac:dyDescent="0.3">
      <c r="A1678" s="26">
        <v>44586</v>
      </c>
      <c r="B1678" s="27">
        <v>298.51229858398438</v>
      </c>
      <c r="C1678" s="27">
        <f t="shared" si="55"/>
        <v>5.6988111332702873</v>
      </c>
      <c r="D1678" s="29">
        <f t="shared" si="56"/>
        <v>-4.9101535348184955E-3</v>
      </c>
    </row>
    <row r="1679" spans="1:4" x14ac:dyDescent="0.3">
      <c r="A1679" s="26">
        <v>44587</v>
      </c>
      <c r="B1679" s="27">
        <v>293.0224609375</v>
      </c>
      <c r="C1679" s="27">
        <f t="shared" si="55"/>
        <v>5.6802492645687161</v>
      </c>
      <c r="D1679" s="29">
        <f t="shared" si="56"/>
        <v>-3.257147546653183E-3</v>
      </c>
    </row>
    <row r="1680" spans="1:4" x14ac:dyDescent="0.3">
      <c r="A1680" s="26">
        <v>44588</v>
      </c>
      <c r="B1680" s="27">
        <v>293.03240966796881</v>
      </c>
      <c r="C1680" s="27">
        <f t="shared" si="55"/>
        <v>5.6802832161011372</v>
      </c>
      <c r="D1680" s="29">
        <f t="shared" si="56"/>
        <v>5.977120164812888E-6</v>
      </c>
    </row>
    <row r="1681" spans="1:4" x14ac:dyDescent="0.3">
      <c r="A1681" s="26">
        <v>44589</v>
      </c>
      <c r="B1681" s="27">
        <v>300.0638427734375</v>
      </c>
      <c r="C1681" s="27">
        <f t="shared" si="55"/>
        <v>5.7039952612603173</v>
      </c>
      <c r="D1681" s="29">
        <f t="shared" si="56"/>
        <v>4.1744476916163453E-3</v>
      </c>
    </row>
    <row r="1682" spans="1:4" x14ac:dyDescent="0.3">
      <c r="A1682" s="26">
        <v>44592</v>
      </c>
      <c r="B1682" s="27">
        <v>311.55081176757813</v>
      </c>
      <c r="C1682" s="27">
        <f t="shared" si="55"/>
        <v>5.7415624445640416</v>
      </c>
      <c r="D1682" s="29">
        <f t="shared" si="56"/>
        <v>6.5861175514763115E-3</v>
      </c>
    </row>
    <row r="1683" spans="1:4" x14ac:dyDescent="0.3">
      <c r="A1683" s="26">
        <v>44593</v>
      </c>
      <c r="B1683" s="27">
        <v>317.25949096679688</v>
      </c>
      <c r="C1683" s="27">
        <f t="shared" si="55"/>
        <v>5.7597200225120133</v>
      </c>
      <c r="D1683" s="29">
        <f t="shared" si="56"/>
        <v>3.1624802696630372E-3</v>
      </c>
    </row>
    <row r="1684" spans="1:4" x14ac:dyDescent="0.3">
      <c r="A1684" s="26">
        <v>44594</v>
      </c>
      <c r="B1684" s="27">
        <v>321.2376708984375</v>
      </c>
      <c r="C1684" s="27">
        <f t="shared" si="55"/>
        <v>5.7721812569466904</v>
      </c>
      <c r="D1684" s="29">
        <f t="shared" si="56"/>
        <v>2.163513918379989E-3</v>
      </c>
    </row>
    <row r="1685" spans="1:4" x14ac:dyDescent="0.3">
      <c r="A1685" s="26">
        <v>44595</v>
      </c>
      <c r="B1685" s="27">
        <v>236.4627380371094</v>
      </c>
      <c r="C1685" s="27">
        <f t="shared" si="55"/>
        <v>5.4657906396502991</v>
      </c>
      <c r="D1685" s="29">
        <f t="shared" si="56"/>
        <v>-5.308056065073441E-2</v>
      </c>
    </row>
    <row r="1686" spans="1:4" x14ac:dyDescent="0.3">
      <c r="A1686" s="26">
        <v>44596</v>
      </c>
      <c r="B1686" s="27">
        <v>235.7964172363281</v>
      </c>
      <c r="C1686" s="27">
        <f t="shared" si="55"/>
        <v>5.4629687939095026</v>
      </c>
      <c r="D1686" s="29">
        <f t="shared" si="56"/>
        <v>-5.1627402636422737E-4</v>
      </c>
    </row>
    <row r="1687" spans="1:4" x14ac:dyDescent="0.3">
      <c r="A1687" s="26">
        <v>44599</v>
      </c>
      <c r="B1687" s="27">
        <v>223.682861328125</v>
      </c>
      <c r="C1687" s="27">
        <f t="shared" si="55"/>
        <v>5.4102292510242727</v>
      </c>
      <c r="D1687" s="29">
        <f t="shared" si="56"/>
        <v>-9.654007715370394E-3</v>
      </c>
    </row>
    <row r="1688" spans="1:4" x14ac:dyDescent="0.3">
      <c r="A1688" s="26">
        <v>44600</v>
      </c>
      <c r="B1688" s="27">
        <v>218.97865295410159</v>
      </c>
      <c r="C1688" s="27">
        <f t="shared" si="55"/>
        <v>5.3889742499700688</v>
      </c>
      <c r="D1688" s="29">
        <f t="shared" si="56"/>
        <v>-3.9286692056865746E-3</v>
      </c>
    </row>
    <row r="1689" spans="1:4" x14ac:dyDescent="0.3">
      <c r="A1689" s="26">
        <v>44601</v>
      </c>
      <c r="B1689" s="27">
        <v>230.7341613769531</v>
      </c>
      <c r="C1689" s="27">
        <f t="shared" si="55"/>
        <v>5.4412662312739632</v>
      </c>
      <c r="D1689" s="29">
        <f t="shared" si="56"/>
        <v>9.7035129281206611E-3</v>
      </c>
    </row>
    <row r="1690" spans="1:4" x14ac:dyDescent="0.3">
      <c r="A1690" s="26">
        <v>44602</v>
      </c>
      <c r="B1690" s="27">
        <v>226.82562255859381</v>
      </c>
      <c r="C1690" s="27">
        <f t="shared" si="55"/>
        <v>5.4241815397167281</v>
      </c>
      <c r="D1690" s="29">
        <f t="shared" si="56"/>
        <v>-3.1398374626553371E-3</v>
      </c>
    </row>
    <row r="1691" spans="1:4" x14ac:dyDescent="0.3">
      <c r="A1691" s="26">
        <v>44603</v>
      </c>
      <c r="B1691" s="27">
        <v>218.35211181640619</v>
      </c>
      <c r="C1691" s="27">
        <f t="shared" si="55"/>
        <v>5.3861089515880565</v>
      </c>
      <c r="D1691" s="29">
        <f t="shared" si="56"/>
        <v>-7.0190475466018754E-3</v>
      </c>
    </row>
    <row r="1692" spans="1:4" x14ac:dyDescent="0.3">
      <c r="A1692" s="26">
        <v>44606</v>
      </c>
      <c r="B1692" s="27">
        <v>216.51220703125</v>
      </c>
      <c r="C1692" s="27">
        <f t="shared" si="55"/>
        <v>5.3776469293692202</v>
      </c>
      <c r="D1692" s="29">
        <f t="shared" si="56"/>
        <v>-1.5710826303172443E-3</v>
      </c>
    </row>
    <row r="1693" spans="1:4" x14ac:dyDescent="0.3">
      <c r="A1693" s="26">
        <v>44607</v>
      </c>
      <c r="B1693" s="27">
        <v>219.79420471191409</v>
      </c>
      <c r="C1693" s="27">
        <f t="shared" si="55"/>
        <v>5.3926916754340928</v>
      </c>
      <c r="D1693" s="29">
        <f t="shared" si="56"/>
        <v>2.7976448179793945E-3</v>
      </c>
    </row>
    <row r="1694" spans="1:4" x14ac:dyDescent="0.3">
      <c r="A1694" s="26">
        <v>44608</v>
      </c>
      <c r="B1694" s="27">
        <v>215.35850524902341</v>
      </c>
      <c r="C1694" s="27">
        <f t="shared" si="55"/>
        <v>5.3723041057238037</v>
      </c>
      <c r="D1694" s="29">
        <f t="shared" si="56"/>
        <v>-3.7805925013593145E-3</v>
      </c>
    </row>
    <row r="1695" spans="1:4" x14ac:dyDescent="0.3">
      <c r="A1695" s="26">
        <v>44609</v>
      </c>
      <c r="B1695" s="27">
        <v>206.57670593261719</v>
      </c>
      <c r="C1695" s="27">
        <f t="shared" si="55"/>
        <v>5.3306718007287142</v>
      </c>
      <c r="D1695" s="29">
        <f t="shared" si="56"/>
        <v>-7.7494319338202722E-3</v>
      </c>
    </row>
    <row r="1696" spans="1:4" x14ac:dyDescent="0.3">
      <c r="A1696" s="26">
        <v>44610</v>
      </c>
      <c r="B1696" s="27">
        <v>205.0351867675781</v>
      </c>
      <c r="C1696" s="27">
        <f t="shared" si="55"/>
        <v>5.3231816071781468</v>
      </c>
      <c r="D1696" s="29">
        <f t="shared" si="56"/>
        <v>-1.4051124943658122E-3</v>
      </c>
    </row>
    <row r="1697" spans="1:4" x14ac:dyDescent="0.3">
      <c r="A1697" s="26">
        <v>44614</v>
      </c>
      <c r="B1697" s="27">
        <v>200.97743225097659</v>
      </c>
      <c r="C1697" s="27">
        <f t="shared" si="55"/>
        <v>5.3031926243971759</v>
      </c>
      <c r="D1697" s="29">
        <f t="shared" si="56"/>
        <v>-3.7550818769768179E-3</v>
      </c>
    </row>
    <row r="1698" spans="1:4" x14ac:dyDescent="0.3">
      <c r="A1698" s="26">
        <v>44615</v>
      </c>
      <c r="B1698" s="27">
        <v>197.36723327636719</v>
      </c>
      <c r="C1698" s="27">
        <f t="shared" si="55"/>
        <v>5.2850661217135011</v>
      </c>
      <c r="D1698" s="29">
        <f t="shared" si="56"/>
        <v>-3.4180358828159729E-3</v>
      </c>
    </row>
    <row r="1699" spans="1:4" x14ac:dyDescent="0.3">
      <c r="A1699" s="26">
        <v>44616</v>
      </c>
      <c r="B1699" s="27">
        <v>206.4673156738281</v>
      </c>
      <c r="C1699" s="27">
        <f t="shared" si="55"/>
        <v>5.3301421222652845</v>
      </c>
      <c r="D1699" s="29">
        <f t="shared" si="56"/>
        <v>8.528937862591679E-3</v>
      </c>
    </row>
    <row r="1700" spans="1:4" x14ac:dyDescent="0.3">
      <c r="A1700" s="26">
        <v>44617</v>
      </c>
      <c r="B1700" s="27">
        <v>209.33160400390619</v>
      </c>
      <c r="C1700" s="27">
        <f t="shared" si="55"/>
        <v>5.3439196166381286</v>
      </c>
      <c r="D1700" s="29">
        <f t="shared" si="56"/>
        <v>2.5848268314070388E-3</v>
      </c>
    </row>
    <row r="1701" spans="1:4" x14ac:dyDescent="0.3">
      <c r="A1701" s="26">
        <v>44620</v>
      </c>
      <c r="B1701" s="27">
        <v>209.87860107421881</v>
      </c>
      <c r="C1701" s="27">
        <f t="shared" si="55"/>
        <v>5.3465292734361816</v>
      </c>
      <c r="D1701" s="29">
        <f t="shared" si="56"/>
        <v>4.8834132720254608E-4</v>
      </c>
    </row>
    <row r="1702" spans="1:4" x14ac:dyDescent="0.3">
      <c r="A1702" s="26">
        <v>44621</v>
      </c>
      <c r="B1702" s="27">
        <v>202.3797302246094</v>
      </c>
      <c r="C1702" s="27">
        <f t="shared" si="55"/>
        <v>5.3101457852866396</v>
      </c>
      <c r="D1702" s="29">
        <f t="shared" si="56"/>
        <v>-6.8050666682609728E-3</v>
      </c>
    </row>
    <row r="1703" spans="1:4" x14ac:dyDescent="0.3">
      <c r="A1703" s="26">
        <v>44622</v>
      </c>
      <c r="B1703" s="27">
        <v>206.9745178222656</v>
      </c>
      <c r="C1703" s="27">
        <f t="shared" si="55"/>
        <v>5.3325956833797621</v>
      </c>
      <c r="D1703" s="29">
        <f t="shared" si="56"/>
        <v>4.2277366763312507E-3</v>
      </c>
    </row>
    <row r="1704" spans="1:4" x14ac:dyDescent="0.3">
      <c r="A1704" s="26">
        <v>44623</v>
      </c>
      <c r="B1704" s="27">
        <v>201.8625793457031</v>
      </c>
      <c r="C1704" s="27">
        <f t="shared" si="55"/>
        <v>5.3075871656231772</v>
      </c>
      <c r="D1704" s="29">
        <f t="shared" si="56"/>
        <v>-4.6897457151175992E-3</v>
      </c>
    </row>
    <row r="1705" spans="1:4" x14ac:dyDescent="0.3">
      <c r="A1705" s="26">
        <v>44624</v>
      </c>
      <c r="B1705" s="27">
        <v>198.96844482421881</v>
      </c>
      <c r="C1705" s="27">
        <f t="shared" si="55"/>
        <v>5.2931462434286249</v>
      </c>
      <c r="D1705" s="29">
        <f t="shared" si="56"/>
        <v>-2.7208073544388034E-3</v>
      </c>
    </row>
    <row r="1706" spans="1:4" x14ac:dyDescent="0.3">
      <c r="A1706" s="26">
        <v>44627</v>
      </c>
      <c r="B1706" s="27">
        <v>186.4471435546875</v>
      </c>
      <c r="C1706" s="27">
        <f t="shared" si="55"/>
        <v>5.2281477863395347</v>
      </c>
      <c r="D1706" s="29">
        <f t="shared" si="56"/>
        <v>-1.2279739515941968E-2</v>
      </c>
    </row>
    <row r="1707" spans="1:4" x14ac:dyDescent="0.3">
      <c r="A1707" s="26">
        <v>44628</v>
      </c>
      <c r="B1707" s="27">
        <v>189.2517395019531</v>
      </c>
      <c r="C1707" s="27">
        <f t="shared" si="55"/>
        <v>5.243078083831211</v>
      </c>
      <c r="D1707" s="29">
        <f t="shared" si="56"/>
        <v>2.8557527640453717E-3</v>
      </c>
    </row>
    <row r="1708" spans="1:4" x14ac:dyDescent="0.3">
      <c r="A1708" s="26">
        <v>44629</v>
      </c>
      <c r="B1708" s="27">
        <v>197.41694641113281</v>
      </c>
      <c r="C1708" s="27">
        <f t="shared" si="55"/>
        <v>5.2853179713953589</v>
      </c>
      <c r="D1708" s="29">
        <f t="shared" si="56"/>
        <v>8.0563147999661577E-3</v>
      </c>
    </row>
    <row r="1709" spans="1:4" x14ac:dyDescent="0.3">
      <c r="A1709" s="26">
        <v>44630</v>
      </c>
      <c r="B1709" s="27">
        <v>194.14491271972659</v>
      </c>
      <c r="C1709" s="27">
        <f t="shared" si="55"/>
        <v>5.2686048530001068</v>
      </c>
      <c r="D1709" s="29">
        <f t="shared" si="56"/>
        <v>-3.1621784130501096E-3</v>
      </c>
    </row>
    <row r="1710" spans="1:4" x14ac:dyDescent="0.3">
      <c r="A1710" s="26">
        <v>44631</v>
      </c>
      <c r="B1710" s="27">
        <v>186.58638000488281</v>
      </c>
      <c r="C1710" s="27">
        <f t="shared" si="55"/>
        <v>5.2288942954217896</v>
      </c>
      <c r="D1710" s="29">
        <f t="shared" si="56"/>
        <v>-7.5372055195418453E-3</v>
      </c>
    </row>
    <row r="1711" spans="1:4" x14ac:dyDescent="0.3">
      <c r="A1711" s="26">
        <v>44634</v>
      </c>
      <c r="B1711" s="27">
        <v>185.6117248535156</v>
      </c>
      <c r="C1711" s="27">
        <f t="shared" si="55"/>
        <v>5.2236569910589203</v>
      </c>
      <c r="D1711" s="29">
        <f t="shared" si="56"/>
        <v>-1.0016083835266976E-3</v>
      </c>
    </row>
    <row r="1712" spans="1:4" x14ac:dyDescent="0.3">
      <c r="A1712" s="26">
        <v>44635</v>
      </c>
      <c r="B1712" s="27">
        <v>190.98225402832031</v>
      </c>
      <c r="C1712" s="27">
        <f t="shared" si="55"/>
        <v>5.2521805128836592</v>
      </c>
      <c r="D1712" s="29">
        <f t="shared" si="56"/>
        <v>5.4604507672615377E-3</v>
      </c>
    </row>
    <row r="1713" spans="1:4" x14ac:dyDescent="0.3">
      <c r="A1713" s="26">
        <v>44636</v>
      </c>
      <c r="B1713" s="27">
        <v>202.51896667480469</v>
      </c>
      <c r="C1713" s="27">
        <f t="shared" si="55"/>
        <v>5.3108335447521551</v>
      </c>
      <c r="D1713" s="29">
        <f t="shared" si="56"/>
        <v>1.1167367862665589E-2</v>
      </c>
    </row>
    <row r="1714" spans="1:4" x14ac:dyDescent="0.3">
      <c r="A1714" s="26">
        <v>44637</v>
      </c>
      <c r="B1714" s="27">
        <v>206.70600891113281</v>
      </c>
      <c r="C1714" s="27">
        <f t="shared" si="55"/>
        <v>5.3312975369528068</v>
      </c>
      <c r="D1714" s="29">
        <f t="shared" si="56"/>
        <v>3.8532543014595522E-3</v>
      </c>
    </row>
    <row r="1715" spans="1:4" x14ac:dyDescent="0.3">
      <c r="A1715" s="26">
        <v>44638</v>
      </c>
      <c r="B1715" s="27">
        <v>215.3088073730469</v>
      </c>
      <c r="C1715" s="27">
        <f t="shared" si="55"/>
        <v>5.3720733109792738</v>
      </c>
      <c r="D1715" s="29">
        <f t="shared" si="56"/>
        <v>7.6483771059179251E-3</v>
      </c>
    </row>
    <row r="1716" spans="1:4" x14ac:dyDescent="0.3">
      <c r="A1716" s="26">
        <v>44641</v>
      </c>
      <c r="B1716" s="27">
        <v>210.33610534667969</v>
      </c>
      <c r="C1716" s="27">
        <f t="shared" si="55"/>
        <v>5.3487067529305365</v>
      </c>
      <c r="D1716" s="29">
        <f t="shared" si="56"/>
        <v>-4.3496349912018895E-3</v>
      </c>
    </row>
    <row r="1717" spans="1:4" x14ac:dyDescent="0.3">
      <c r="A1717" s="26">
        <v>44642</v>
      </c>
      <c r="B1717" s="27">
        <v>215.4679260253906</v>
      </c>
      <c r="C1717" s="27">
        <f t="shared" si="55"/>
        <v>5.3728120633177534</v>
      </c>
      <c r="D1717" s="29">
        <f t="shared" si="56"/>
        <v>4.5067549036987842E-3</v>
      </c>
    </row>
    <row r="1718" spans="1:4" x14ac:dyDescent="0.3">
      <c r="A1718" s="26">
        <v>44643</v>
      </c>
      <c r="B1718" s="27">
        <v>212.29533386230469</v>
      </c>
      <c r="C1718" s="27">
        <f t="shared" si="55"/>
        <v>5.357978389486532</v>
      </c>
      <c r="D1718" s="29">
        <f t="shared" si="56"/>
        <v>-2.7608771080038785E-3</v>
      </c>
    </row>
    <row r="1719" spans="1:4" x14ac:dyDescent="0.3">
      <c r="A1719" s="26">
        <v>44644</v>
      </c>
      <c r="B1719" s="27">
        <v>218.37200927734381</v>
      </c>
      <c r="C1719" s="27">
        <f t="shared" si="55"/>
        <v>5.3862000730076911</v>
      </c>
      <c r="D1719" s="29">
        <f t="shared" si="56"/>
        <v>5.267226082235732E-3</v>
      </c>
    </row>
    <row r="1720" spans="1:4" x14ac:dyDescent="0.3">
      <c r="A1720" s="26">
        <v>44645</v>
      </c>
      <c r="B1720" s="27">
        <v>220.60972595214841</v>
      </c>
      <c r="C1720" s="27">
        <f t="shared" si="55"/>
        <v>5.3963951944792061</v>
      </c>
      <c r="D1720" s="29">
        <f t="shared" si="56"/>
        <v>1.8928226455245944E-3</v>
      </c>
    </row>
    <row r="1721" spans="1:4" x14ac:dyDescent="0.3">
      <c r="A1721" s="26">
        <v>44648</v>
      </c>
      <c r="B1721" s="27">
        <v>222.37005615234381</v>
      </c>
      <c r="C1721" s="27">
        <f t="shared" si="55"/>
        <v>5.4043429137089314</v>
      </c>
      <c r="D1721" s="29">
        <f t="shared" si="56"/>
        <v>1.4727830233516315E-3</v>
      </c>
    </row>
    <row r="1722" spans="1:4" x14ac:dyDescent="0.3">
      <c r="A1722" s="26">
        <v>44649</v>
      </c>
      <c r="B1722" s="27">
        <v>228.60585021972659</v>
      </c>
      <c r="C1722" s="27">
        <f t="shared" si="55"/>
        <v>5.4319993425456179</v>
      </c>
      <c r="D1722" s="29">
        <f t="shared" si="56"/>
        <v>5.1174452247528812E-3</v>
      </c>
    </row>
    <row r="1723" spans="1:4" x14ac:dyDescent="0.3">
      <c r="A1723" s="26">
        <v>44650</v>
      </c>
      <c r="B1723" s="27">
        <v>226.6068115234375</v>
      </c>
      <c r="C1723" s="27">
        <f t="shared" si="55"/>
        <v>5.4232164078218998</v>
      </c>
      <c r="D1723" s="29">
        <f t="shared" si="56"/>
        <v>-1.616888031433783E-3</v>
      </c>
    </row>
    <row r="1724" spans="1:4" x14ac:dyDescent="0.3">
      <c r="A1724" s="26">
        <v>44651</v>
      </c>
      <c r="B1724" s="27">
        <v>221.1467590332031</v>
      </c>
      <c r="C1724" s="27">
        <f t="shared" si="55"/>
        <v>5.398826549145693</v>
      </c>
      <c r="D1724" s="29">
        <f t="shared" si="56"/>
        <v>-4.4973050754584243E-3</v>
      </c>
    </row>
    <row r="1725" spans="1:4" x14ac:dyDescent="0.3">
      <c r="A1725" s="26">
        <v>44652</v>
      </c>
      <c r="B1725" s="27">
        <v>223.6231994628906</v>
      </c>
      <c r="C1725" s="27">
        <f t="shared" si="55"/>
        <v>5.4099624902051469</v>
      </c>
      <c r="D1725" s="29">
        <f t="shared" si="56"/>
        <v>2.0626595350088373E-3</v>
      </c>
    </row>
    <row r="1726" spans="1:4" x14ac:dyDescent="0.3">
      <c r="A1726" s="26">
        <v>44655</v>
      </c>
      <c r="B1726" s="27">
        <v>232.61384582519531</v>
      </c>
      <c r="C1726" s="27">
        <f t="shared" si="55"/>
        <v>5.4493797646465421</v>
      </c>
      <c r="D1726" s="29">
        <f t="shared" si="56"/>
        <v>7.286053186646102E-3</v>
      </c>
    </row>
    <row r="1727" spans="1:4" x14ac:dyDescent="0.3">
      <c r="A1727" s="26">
        <v>44656</v>
      </c>
      <c r="B1727" s="27">
        <v>230.5750427246094</v>
      </c>
      <c r="C1727" s="27">
        <f t="shared" si="55"/>
        <v>5.4405763744176969</v>
      </c>
      <c r="D1727" s="29">
        <f t="shared" si="56"/>
        <v>-1.6154848091076701E-3</v>
      </c>
    </row>
    <row r="1728" spans="1:4" x14ac:dyDescent="0.3">
      <c r="A1728" s="26">
        <v>44657</v>
      </c>
      <c r="B1728" s="27">
        <v>222.08164978027341</v>
      </c>
      <c r="C1728" s="27">
        <f t="shared" si="55"/>
        <v>5.4030451060564868</v>
      </c>
      <c r="D1728" s="29">
        <f t="shared" si="56"/>
        <v>-6.8983993199115412E-3</v>
      </c>
    </row>
    <row r="1729" spans="1:4" x14ac:dyDescent="0.3">
      <c r="A1729" s="26">
        <v>44658</v>
      </c>
      <c r="B1729" s="27">
        <v>221.7335510253906</v>
      </c>
      <c r="C1729" s="27">
        <f t="shared" si="55"/>
        <v>5.4014764404243421</v>
      </c>
      <c r="D1729" s="29">
        <f t="shared" si="56"/>
        <v>-2.9032991606647851E-4</v>
      </c>
    </row>
    <row r="1730" spans="1:4" x14ac:dyDescent="0.3">
      <c r="A1730" s="26">
        <v>44659</v>
      </c>
      <c r="B1730" s="27">
        <v>221.11692810058591</v>
      </c>
      <c r="C1730" s="27">
        <f t="shared" si="55"/>
        <v>5.3986916480288691</v>
      </c>
      <c r="D1730" s="29">
        <f t="shared" si="56"/>
        <v>-5.1556133331098764E-4</v>
      </c>
    </row>
    <row r="1731" spans="1:4" x14ac:dyDescent="0.3">
      <c r="A1731" s="26">
        <v>44662</v>
      </c>
      <c r="B1731" s="27">
        <v>215.2789611816406</v>
      </c>
      <c r="C1731" s="27">
        <f t="shared" ref="C1731:C1794" si="57">LN(B1731)</f>
        <v>5.3719346809779882</v>
      </c>
      <c r="D1731" s="29">
        <f t="shared" si="56"/>
        <v>-4.956194721854601E-3</v>
      </c>
    </row>
    <row r="1732" spans="1:4" x14ac:dyDescent="0.3">
      <c r="A1732" s="26">
        <v>44663</v>
      </c>
      <c r="B1732" s="27">
        <v>212.97161865234381</v>
      </c>
      <c r="C1732" s="27">
        <f t="shared" si="57"/>
        <v>5.3611589110677755</v>
      </c>
      <c r="D1732" s="29">
        <f t="shared" ref="D1732:D1795" si="58">C1732/C1731-1</f>
        <v>-2.0059383723278756E-3</v>
      </c>
    </row>
    <row r="1733" spans="1:4" x14ac:dyDescent="0.3">
      <c r="A1733" s="26">
        <v>44664</v>
      </c>
      <c r="B1733" s="27">
        <v>213.81700134277341</v>
      </c>
      <c r="C1733" s="27">
        <f t="shared" si="57"/>
        <v>5.3651205152739996</v>
      </c>
      <c r="D1733" s="29">
        <f t="shared" si="58"/>
        <v>7.3894549143949106E-4</v>
      </c>
    </row>
    <row r="1734" spans="1:4" x14ac:dyDescent="0.3">
      <c r="A1734" s="26">
        <v>44665</v>
      </c>
      <c r="B1734" s="27">
        <v>209.03324890136719</v>
      </c>
      <c r="C1734" s="27">
        <f t="shared" si="57"/>
        <v>5.3424933249645052</v>
      </c>
      <c r="D1734" s="29">
        <f t="shared" si="58"/>
        <v>-4.2174617038102102E-3</v>
      </c>
    </row>
    <row r="1735" spans="1:4" x14ac:dyDescent="0.3">
      <c r="A1735" s="26">
        <v>44669</v>
      </c>
      <c r="B1735" s="27">
        <v>209.6200256347656</v>
      </c>
      <c r="C1735" s="27">
        <f t="shared" si="57"/>
        <v>5.3452964900336255</v>
      </c>
      <c r="D1735" s="29">
        <f t="shared" si="58"/>
        <v>5.2469229227147807E-4</v>
      </c>
    </row>
    <row r="1736" spans="1:4" x14ac:dyDescent="0.3">
      <c r="A1736" s="26">
        <v>44670</v>
      </c>
      <c r="B1736" s="27">
        <v>216.12432861328119</v>
      </c>
      <c r="C1736" s="27">
        <f t="shared" si="57"/>
        <v>5.3758538375245113</v>
      </c>
      <c r="D1736" s="29">
        <f t="shared" si="58"/>
        <v>5.7166796169043632E-3</v>
      </c>
    </row>
    <row r="1737" spans="1:4" x14ac:dyDescent="0.3">
      <c r="A1737" s="26">
        <v>44671</v>
      </c>
      <c r="B1737" s="27">
        <v>199.32646179199219</v>
      </c>
      <c r="C1737" s="27">
        <f t="shared" si="57"/>
        <v>5.2949439920729038</v>
      </c>
      <c r="D1737" s="29">
        <f t="shared" si="58"/>
        <v>-1.5050603661662221E-2</v>
      </c>
    </row>
    <row r="1738" spans="1:4" x14ac:dyDescent="0.3">
      <c r="A1738" s="26">
        <v>44672</v>
      </c>
      <c r="B1738" s="27">
        <v>187.04388427734381</v>
      </c>
      <c r="C1738" s="27">
        <f t="shared" si="57"/>
        <v>5.2313432646025637</v>
      </c>
      <c r="D1738" s="29">
        <f t="shared" si="58"/>
        <v>-1.2011595885727422E-2</v>
      </c>
    </row>
    <row r="1739" spans="1:4" x14ac:dyDescent="0.3">
      <c r="A1739" s="26">
        <v>44673</v>
      </c>
      <c r="B1739" s="27">
        <v>183.10546875</v>
      </c>
      <c r="C1739" s="27">
        <f t="shared" si="57"/>
        <v>5.2100623187931498</v>
      </c>
      <c r="D1739" s="29">
        <f t="shared" si="58"/>
        <v>-4.0679696844612145E-3</v>
      </c>
    </row>
    <row r="1740" spans="1:4" x14ac:dyDescent="0.3">
      <c r="A1740" s="26">
        <v>44676</v>
      </c>
      <c r="B1740" s="27">
        <v>185.96974182128909</v>
      </c>
      <c r="C1740" s="27">
        <f t="shared" si="57"/>
        <v>5.2255839820994723</v>
      </c>
      <c r="D1740" s="29">
        <f t="shared" si="58"/>
        <v>2.979170373900164E-3</v>
      </c>
    </row>
    <row r="1741" spans="1:4" x14ac:dyDescent="0.3">
      <c r="A1741" s="26">
        <v>44677</v>
      </c>
      <c r="B1741" s="27">
        <v>179.96272277832031</v>
      </c>
      <c r="C1741" s="27">
        <f t="shared" si="57"/>
        <v>5.1927497337669415</v>
      </c>
      <c r="D1741" s="29">
        <f t="shared" si="58"/>
        <v>-6.2833643942966644E-3</v>
      </c>
    </row>
    <row r="1742" spans="1:4" x14ac:dyDescent="0.3">
      <c r="A1742" s="26">
        <v>44678</v>
      </c>
      <c r="B1742" s="27">
        <v>173.99542236328119</v>
      </c>
      <c r="C1742" s="27">
        <f t="shared" si="57"/>
        <v>5.1590289906114561</v>
      </c>
      <c r="D1742" s="29">
        <f t="shared" si="58"/>
        <v>-6.4938125048101814E-3</v>
      </c>
    </row>
    <row r="1743" spans="1:4" x14ac:dyDescent="0.3">
      <c r="A1743" s="26">
        <v>44679</v>
      </c>
      <c r="B1743" s="27">
        <v>204.60752868652341</v>
      </c>
      <c r="C1743" s="27">
        <f t="shared" si="57"/>
        <v>5.3210936499398622</v>
      </c>
      <c r="D1743" s="29">
        <f t="shared" si="58"/>
        <v>3.1413791165612048E-2</v>
      </c>
    </row>
    <row r="1744" spans="1:4" x14ac:dyDescent="0.3">
      <c r="A1744" s="26">
        <v>44680</v>
      </c>
      <c r="B1744" s="27">
        <v>199.376220703125</v>
      </c>
      <c r="C1744" s="27">
        <f t="shared" si="57"/>
        <v>5.2951935961692689</v>
      </c>
      <c r="D1744" s="29">
        <f t="shared" si="58"/>
        <v>-4.8674305461408052E-3</v>
      </c>
    </row>
    <row r="1745" spans="1:4" x14ac:dyDescent="0.3">
      <c r="A1745" s="26">
        <v>44683</v>
      </c>
      <c r="B1745" s="27">
        <v>209.9780578613281</v>
      </c>
      <c r="C1745" s="27">
        <f t="shared" si="57"/>
        <v>5.3470030388837593</v>
      </c>
      <c r="D1745" s="29">
        <f t="shared" si="58"/>
        <v>9.7842395700076246E-3</v>
      </c>
    </row>
    <row r="1746" spans="1:4" x14ac:dyDescent="0.3">
      <c r="A1746" s="26">
        <v>44684</v>
      </c>
      <c r="B1746" s="27">
        <v>210.8731384277344</v>
      </c>
      <c r="C1746" s="27">
        <f t="shared" si="57"/>
        <v>5.3512567129800273</v>
      </c>
      <c r="D1746" s="29">
        <f t="shared" si="58"/>
        <v>7.9552490719292379E-4</v>
      </c>
    </row>
    <row r="1747" spans="1:4" x14ac:dyDescent="0.3">
      <c r="A1747" s="26">
        <v>44685</v>
      </c>
      <c r="B1747" s="27">
        <v>222.19105529785159</v>
      </c>
      <c r="C1747" s="27">
        <f t="shared" si="57"/>
        <v>5.4035376212100816</v>
      </c>
      <c r="D1747" s="29">
        <f t="shared" si="58"/>
        <v>9.7698374483214945E-3</v>
      </c>
    </row>
    <row r="1748" spans="1:4" x14ac:dyDescent="0.3">
      <c r="A1748" s="26">
        <v>44686</v>
      </c>
      <c r="B1748" s="27">
        <v>207.1435852050781</v>
      </c>
      <c r="C1748" s="27">
        <f t="shared" si="57"/>
        <v>5.3334122011362659</v>
      </c>
      <c r="D1748" s="29">
        <f t="shared" si="58"/>
        <v>-1.2977687024618434E-2</v>
      </c>
    </row>
    <row r="1749" spans="1:4" x14ac:dyDescent="0.3">
      <c r="A1749" s="26">
        <v>44687</v>
      </c>
      <c r="B1749" s="27">
        <v>202.65821838378909</v>
      </c>
      <c r="C1749" s="27">
        <f t="shared" si="57"/>
        <v>5.3115209068228841</v>
      </c>
      <c r="D1749" s="29">
        <f t="shared" si="58"/>
        <v>-4.1045569867481646E-3</v>
      </c>
    </row>
    <row r="1750" spans="1:4" x14ac:dyDescent="0.3">
      <c r="A1750" s="26">
        <v>44690</v>
      </c>
      <c r="B1750" s="27">
        <v>195.13948059082031</v>
      </c>
      <c r="C1750" s="27">
        <f t="shared" si="57"/>
        <v>5.2737145879504252</v>
      </c>
      <c r="D1750" s="29">
        <f t="shared" si="58"/>
        <v>-7.1177953613803524E-3</v>
      </c>
    </row>
    <row r="1751" spans="1:4" x14ac:dyDescent="0.3">
      <c r="A1751" s="26">
        <v>44691</v>
      </c>
      <c r="B1751" s="27">
        <v>196.57157897949219</v>
      </c>
      <c r="C1751" s="27">
        <f t="shared" si="57"/>
        <v>5.2810266345949834</v>
      </c>
      <c r="D1751" s="29">
        <f t="shared" si="58"/>
        <v>1.3865078442556467E-3</v>
      </c>
    </row>
    <row r="1752" spans="1:4" x14ac:dyDescent="0.3">
      <c r="A1752" s="26">
        <v>44692</v>
      </c>
      <c r="B1752" s="27">
        <v>187.71022033691409</v>
      </c>
      <c r="C1752" s="27">
        <f t="shared" si="57"/>
        <v>5.2348993924932277</v>
      </c>
      <c r="D1752" s="29">
        <f t="shared" si="58"/>
        <v>-8.7345217688516996E-3</v>
      </c>
    </row>
    <row r="1753" spans="1:4" x14ac:dyDescent="0.3">
      <c r="A1753" s="26">
        <v>44693</v>
      </c>
      <c r="B1753" s="27">
        <v>190.1965637207031</v>
      </c>
      <c r="C1753" s="27">
        <f t="shared" si="57"/>
        <v>5.248058083285116</v>
      </c>
      <c r="D1753" s="29">
        <f t="shared" si="58"/>
        <v>2.5136473130233927E-3</v>
      </c>
    </row>
    <row r="1754" spans="1:4" x14ac:dyDescent="0.3">
      <c r="A1754" s="26">
        <v>44694</v>
      </c>
      <c r="B1754" s="27">
        <v>197.53631591796881</v>
      </c>
      <c r="C1754" s="27">
        <f t="shared" si="57"/>
        <v>5.285922445503342</v>
      </c>
      <c r="D1754" s="29">
        <f t="shared" si="58"/>
        <v>7.2149281919768882E-3</v>
      </c>
    </row>
    <row r="1755" spans="1:4" x14ac:dyDescent="0.3">
      <c r="A1755" s="26">
        <v>44697</v>
      </c>
      <c r="B1755" s="27">
        <v>198.94854736328119</v>
      </c>
      <c r="C1755" s="27">
        <f t="shared" si="57"/>
        <v>5.2930462353297258</v>
      </c>
      <c r="D1755" s="29">
        <f t="shared" si="58"/>
        <v>1.3476909470067078E-3</v>
      </c>
    </row>
    <row r="1756" spans="1:4" x14ac:dyDescent="0.3">
      <c r="A1756" s="26">
        <v>44698</v>
      </c>
      <c r="B1756" s="27">
        <v>201.51448059082031</v>
      </c>
      <c r="C1756" s="27">
        <f t="shared" si="57"/>
        <v>5.3058612427789402</v>
      </c>
      <c r="D1756" s="29">
        <f t="shared" si="58"/>
        <v>2.421102495511418E-3</v>
      </c>
    </row>
    <row r="1757" spans="1:4" x14ac:dyDescent="0.3">
      <c r="A1757" s="26">
        <v>44699</v>
      </c>
      <c r="B1757" s="27">
        <v>191.19111633300781</v>
      </c>
      <c r="C1757" s="27">
        <f t="shared" si="57"/>
        <v>5.2532735368444028</v>
      </c>
      <c r="D1757" s="29">
        <f t="shared" si="58"/>
        <v>-9.9112478687803929E-3</v>
      </c>
    </row>
    <row r="1758" spans="1:4" x14ac:dyDescent="0.3">
      <c r="A1758" s="26">
        <v>44700</v>
      </c>
      <c r="B1758" s="27">
        <v>190.24629211425781</v>
      </c>
      <c r="C1758" s="27">
        <f t="shared" si="57"/>
        <v>5.2483195070078921</v>
      </c>
      <c r="D1758" s="29">
        <f t="shared" si="58"/>
        <v>-9.4303671829865099E-4</v>
      </c>
    </row>
    <row r="1759" spans="1:4" x14ac:dyDescent="0.3">
      <c r="A1759" s="26">
        <v>44701</v>
      </c>
      <c r="B1759" s="27">
        <v>192.48399353027341</v>
      </c>
      <c r="C1759" s="27">
        <f t="shared" si="57"/>
        <v>5.2600129997785592</v>
      </c>
      <c r="D1759" s="29">
        <f t="shared" si="58"/>
        <v>2.2280451399829815E-3</v>
      </c>
    </row>
    <row r="1760" spans="1:4" x14ac:dyDescent="0.3">
      <c r="A1760" s="26">
        <v>44704</v>
      </c>
      <c r="B1760" s="27">
        <v>195.1593322753906</v>
      </c>
      <c r="C1760" s="27">
        <f t="shared" si="57"/>
        <v>5.2738163135203378</v>
      </c>
      <c r="D1760" s="29">
        <f t="shared" si="58"/>
        <v>2.62419764786892E-3</v>
      </c>
    </row>
    <row r="1761" spans="1:4" x14ac:dyDescent="0.3">
      <c r="A1761" s="26">
        <v>44705</v>
      </c>
      <c r="B1761" s="27">
        <v>180.2909240722656</v>
      </c>
      <c r="C1761" s="27">
        <f t="shared" si="57"/>
        <v>5.1945717910180695</v>
      </c>
      <c r="D1761" s="29">
        <f t="shared" si="58"/>
        <v>-1.5026030068417628E-2</v>
      </c>
    </row>
    <row r="1762" spans="1:4" x14ac:dyDescent="0.3">
      <c r="A1762" s="26">
        <v>44706</v>
      </c>
      <c r="B1762" s="27">
        <v>182.8269958496094</v>
      </c>
      <c r="C1762" s="27">
        <f t="shared" si="57"/>
        <v>5.2085403278189339</v>
      </c>
      <c r="D1762" s="29">
        <f t="shared" si="58"/>
        <v>2.6890641544348171E-3</v>
      </c>
    </row>
    <row r="1763" spans="1:4" x14ac:dyDescent="0.3">
      <c r="A1763" s="26">
        <v>44707</v>
      </c>
      <c r="B1763" s="27">
        <v>190.5844421386719</v>
      </c>
      <c r="C1763" s="27">
        <f t="shared" si="57"/>
        <v>5.2500953621732842</v>
      </c>
      <c r="D1763" s="29">
        <f t="shared" si="58"/>
        <v>7.9782495169335998E-3</v>
      </c>
    </row>
    <row r="1764" spans="1:4" x14ac:dyDescent="0.3">
      <c r="A1764" s="26">
        <v>44708</v>
      </c>
      <c r="B1764" s="27">
        <v>194.0653381347656</v>
      </c>
      <c r="C1764" s="27">
        <f t="shared" si="57"/>
        <v>5.2681948968698897</v>
      </c>
      <c r="D1764" s="29">
        <f t="shared" si="58"/>
        <v>3.4474677978255652E-3</v>
      </c>
    </row>
    <row r="1765" spans="1:4" x14ac:dyDescent="0.3">
      <c r="A1765" s="26">
        <v>44712</v>
      </c>
      <c r="B1765" s="27">
        <v>192.5834655761719</v>
      </c>
      <c r="C1765" s="27">
        <f t="shared" si="57"/>
        <v>5.2605296471646659</v>
      </c>
      <c r="D1765" s="29">
        <f t="shared" si="58"/>
        <v>-1.4550049600059456E-3</v>
      </c>
    </row>
    <row r="1766" spans="1:4" x14ac:dyDescent="0.3">
      <c r="A1766" s="26">
        <v>44713</v>
      </c>
      <c r="B1766" s="27">
        <v>187.61073303222659</v>
      </c>
      <c r="C1766" s="27">
        <f t="shared" si="57"/>
        <v>5.2343692472608634</v>
      </c>
      <c r="D1766" s="29">
        <f t="shared" si="58"/>
        <v>-4.9729593136885741E-3</v>
      </c>
    </row>
    <row r="1767" spans="1:4" x14ac:dyDescent="0.3">
      <c r="A1767" s="26">
        <v>44714</v>
      </c>
      <c r="B1767" s="27">
        <v>197.77500915527341</v>
      </c>
      <c r="C1767" s="27">
        <f t="shared" si="57"/>
        <v>5.2871300671988175</v>
      </c>
      <c r="D1767" s="29">
        <f t="shared" si="58"/>
        <v>1.0079690110812001E-2</v>
      </c>
    </row>
    <row r="1768" spans="1:4" x14ac:dyDescent="0.3">
      <c r="A1768" s="26">
        <v>44715</v>
      </c>
      <c r="B1768" s="27">
        <v>189.73907470703119</v>
      </c>
      <c r="C1768" s="27">
        <f t="shared" si="57"/>
        <v>5.2456498373165541</v>
      </c>
      <c r="D1768" s="29">
        <f t="shared" si="58"/>
        <v>-7.845509634727077E-3</v>
      </c>
    </row>
    <row r="1769" spans="1:4" x14ac:dyDescent="0.3">
      <c r="A1769" s="26">
        <v>44718</v>
      </c>
      <c r="B1769" s="27">
        <v>193.19013977050781</v>
      </c>
      <c r="C1769" s="27">
        <f t="shared" si="57"/>
        <v>5.2636748840914818</v>
      </c>
      <c r="D1769" s="29">
        <f t="shared" si="58"/>
        <v>3.4361894777461544E-3</v>
      </c>
    </row>
    <row r="1770" spans="1:4" x14ac:dyDescent="0.3">
      <c r="A1770" s="26">
        <v>44719</v>
      </c>
      <c r="B1770" s="27">
        <v>194.58250427246091</v>
      </c>
      <c r="C1770" s="27">
        <f t="shared" si="57"/>
        <v>5.2708562596076467</v>
      </c>
      <c r="D1770" s="29">
        <f t="shared" si="58"/>
        <v>1.3643273329568828E-3</v>
      </c>
    </row>
    <row r="1771" spans="1:4" x14ac:dyDescent="0.3">
      <c r="A1771" s="26">
        <v>44720</v>
      </c>
      <c r="B1771" s="27">
        <v>195.56712341308591</v>
      </c>
      <c r="C1771" s="27">
        <f t="shared" si="57"/>
        <v>5.2759036627633762</v>
      </c>
      <c r="D1771" s="29">
        <f t="shared" si="58"/>
        <v>9.5760591963189867E-4</v>
      </c>
    </row>
    <row r="1772" spans="1:4" x14ac:dyDescent="0.3">
      <c r="A1772" s="26">
        <v>44721</v>
      </c>
      <c r="B1772" s="27">
        <v>182.99607849121091</v>
      </c>
      <c r="C1772" s="27">
        <f t="shared" si="57"/>
        <v>5.2094647236020402</v>
      </c>
      <c r="D1772" s="29">
        <f t="shared" si="58"/>
        <v>-1.2592902260564975E-2</v>
      </c>
    </row>
    <row r="1773" spans="1:4" x14ac:dyDescent="0.3">
      <c r="A1773" s="26">
        <v>44722</v>
      </c>
      <c r="B1773" s="27">
        <v>174.61207580566409</v>
      </c>
      <c r="C1773" s="27">
        <f t="shared" si="57"/>
        <v>5.1625668037038164</v>
      </c>
      <c r="D1773" s="29">
        <f t="shared" si="58"/>
        <v>-9.0024450469445849E-3</v>
      </c>
    </row>
    <row r="1774" spans="1:4" x14ac:dyDescent="0.3">
      <c r="A1774" s="26">
        <v>44725</v>
      </c>
      <c r="B1774" s="27">
        <v>163.36375427246091</v>
      </c>
      <c r="C1774" s="27">
        <f t="shared" si="57"/>
        <v>5.0959793357417835</v>
      </c>
      <c r="D1774" s="29">
        <f t="shared" si="58"/>
        <v>-1.2898131974633298E-2</v>
      </c>
    </row>
    <row r="1775" spans="1:4" x14ac:dyDescent="0.3">
      <c r="A1775" s="26">
        <v>44726</v>
      </c>
      <c r="B1775" s="27">
        <v>162.8366394042969</v>
      </c>
      <c r="C1775" s="27">
        <f t="shared" si="57"/>
        <v>5.0927474860126916</v>
      </c>
      <c r="D1775" s="29">
        <f t="shared" si="58"/>
        <v>-6.3419600358749495E-4</v>
      </c>
    </row>
    <row r="1776" spans="1:4" x14ac:dyDescent="0.3">
      <c r="A1776" s="26">
        <v>44727</v>
      </c>
      <c r="B1776" s="27">
        <v>168.42601013183591</v>
      </c>
      <c r="C1776" s="27">
        <f t="shared" si="57"/>
        <v>5.1264965443459474</v>
      </c>
      <c r="D1776" s="29">
        <f t="shared" si="58"/>
        <v>6.6268862585368016E-3</v>
      </c>
    </row>
    <row r="1777" spans="1:4" x14ac:dyDescent="0.3">
      <c r="A1777" s="26">
        <v>44728</v>
      </c>
      <c r="B1777" s="27">
        <v>159.9922790527344</v>
      </c>
      <c r="C1777" s="27">
        <f t="shared" si="57"/>
        <v>5.0751255581490629</v>
      </c>
      <c r="D1777" s="29">
        <f t="shared" si="58"/>
        <v>-1.002068093726538E-2</v>
      </c>
    </row>
    <row r="1778" spans="1:4" x14ac:dyDescent="0.3">
      <c r="A1778" s="26">
        <v>44729</v>
      </c>
      <c r="B1778" s="27">
        <v>162.84663391113281</v>
      </c>
      <c r="C1778" s="27">
        <f t="shared" si="57"/>
        <v>5.0928088616353158</v>
      </c>
      <c r="D1778" s="29">
        <f t="shared" si="58"/>
        <v>3.4843085720035472E-3</v>
      </c>
    </row>
    <row r="1779" spans="1:4" x14ac:dyDescent="0.3">
      <c r="A1779" s="26">
        <v>44733</v>
      </c>
      <c r="B1779" s="27">
        <v>156.193115234375</v>
      </c>
      <c r="C1779" s="27">
        <f t="shared" si="57"/>
        <v>5.0510931598296702</v>
      </c>
      <c r="D1779" s="29">
        <f t="shared" si="58"/>
        <v>-8.1910990455373867E-3</v>
      </c>
    </row>
    <row r="1780" spans="1:4" x14ac:dyDescent="0.3">
      <c r="A1780" s="26">
        <v>44734</v>
      </c>
      <c r="B1780" s="27">
        <v>154.99964904785159</v>
      </c>
      <c r="C1780" s="27">
        <f t="shared" si="57"/>
        <v>5.0434228527092744</v>
      </c>
      <c r="D1780" s="29">
        <f t="shared" si="58"/>
        <v>-1.5185439820030178E-3</v>
      </c>
    </row>
    <row r="1781" spans="1:4" x14ac:dyDescent="0.3">
      <c r="A1781" s="26">
        <v>44735</v>
      </c>
      <c r="B1781" s="27">
        <v>157.88385009765619</v>
      </c>
      <c r="C1781" s="27">
        <f t="shared" si="57"/>
        <v>5.0618596367251776</v>
      </c>
      <c r="D1781" s="29">
        <f t="shared" si="58"/>
        <v>3.6556094054258637E-3</v>
      </c>
    </row>
    <row r="1782" spans="1:4" x14ac:dyDescent="0.3">
      <c r="A1782" s="26">
        <v>44736</v>
      </c>
      <c r="B1782" s="27">
        <v>169.23158264160159</v>
      </c>
      <c r="C1782" s="27">
        <f t="shared" si="57"/>
        <v>5.1312680883918738</v>
      </c>
      <c r="D1782" s="29">
        <f t="shared" si="58"/>
        <v>1.3712045897740666E-2</v>
      </c>
    </row>
    <row r="1783" spans="1:4" x14ac:dyDescent="0.3">
      <c r="A1783" s="26">
        <v>44739</v>
      </c>
      <c r="B1783" s="27">
        <v>168.56524658203119</v>
      </c>
      <c r="C1783" s="27">
        <f t="shared" si="57"/>
        <v>5.1273228949134735</v>
      </c>
      <c r="D1783" s="29">
        <f t="shared" si="58"/>
        <v>-7.6885350958866283E-4</v>
      </c>
    </row>
    <row r="1784" spans="1:4" x14ac:dyDescent="0.3">
      <c r="A1784" s="26">
        <v>44740</v>
      </c>
      <c r="B1784" s="27">
        <v>159.80329895019531</v>
      </c>
      <c r="C1784" s="27">
        <f t="shared" si="57"/>
        <v>5.0739436773631104</v>
      </c>
      <c r="D1784" s="29">
        <f t="shared" si="58"/>
        <v>-1.0410738438828893E-2</v>
      </c>
    </row>
    <row r="1785" spans="1:4" x14ac:dyDescent="0.3">
      <c r="A1785" s="26">
        <v>44741</v>
      </c>
      <c r="B1785" s="27">
        <v>163.04551696777341</v>
      </c>
      <c r="C1785" s="27">
        <f t="shared" si="57"/>
        <v>5.0940294070261416</v>
      </c>
      <c r="D1785" s="29">
        <f t="shared" si="58"/>
        <v>3.9586031970835212E-3</v>
      </c>
    </row>
    <row r="1786" spans="1:4" x14ac:dyDescent="0.3">
      <c r="A1786" s="26">
        <v>44742</v>
      </c>
      <c r="B1786" s="27">
        <v>160.3702087402344</v>
      </c>
      <c r="C1786" s="27">
        <f t="shared" si="57"/>
        <v>5.0774849471363472</v>
      </c>
      <c r="D1786" s="29">
        <f t="shared" si="58"/>
        <v>-3.2478139735461209E-3</v>
      </c>
    </row>
    <row r="1787" spans="1:4" x14ac:dyDescent="0.3">
      <c r="A1787" s="26">
        <v>44743</v>
      </c>
      <c r="B1787" s="27">
        <v>159.1568603515625</v>
      </c>
      <c r="C1787" s="27">
        <f t="shared" si="57"/>
        <v>5.0698902589980035</v>
      </c>
      <c r="D1787" s="29">
        <f t="shared" si="58"/>
        <v>-1.4957578835614882E-3</v>
      </c>
    </row>
    <row r="1788" spans="1:4" x14ac:dyDescent="0.3">
      <c r="A1788" s="26">
        <v>44747</v>
      </c>
      <c r="B1788" s="27">
        <v>167.2723388671875</v>
      </c>
      <c r="C1788" s="27">
        <f t="shared" si="57"/>
        <v>5.1196232558123249</v>
      </c>
      <c r="D1788" s="29">
        <f t="shared" si="58"/>
        <v>9.8094819165079894E-3</v>
      </c>
    </row>
    <row r="1789" spans="1:4" x14ac:dyDescent="0.3">
      <c r="A1789" s="26">
        <v>44748</v>
      </c>
      <c r="B1789" s="27">
        <v>168.84373474121091</v>
      </c>
      <c r="C1789" s="27">
        <f t="shared" si="57"/>
        <v>5.1289736406720881</v>
      </c>
      <c r="D1789" s="29">
        <f t="shared" si="58"/>
        <v>1.8263814332719619E-3</v>
      </c>
    </row>
    <row r="1790" spans="1:4" x14ac:dyDescent="0.3">
      <c r="A1790" s="26">
        <v>44749</v>
      </c>
      <c r="B1790" s="27">
        <v>171.25050354003909</v>
      </c>
      <c r="C1790" s="27">
        <f t="shared" si="57"/>
        <v>5.1431274175178023</v>
      </c>
      <c r="D1790" s="29">
        <f t="shared" si="58"/>
        <v>2.7595729355043286E-3</v>
      </c>
    </row>
    <row r="1791" spans="1:4" x14ac:dyDescent="0.3">
      <c r="A1791" s="26">
        <v>44750</v>
      </c>
      <c r="B1791" s="27">
        <v>169.9476623535156</v>
      </c>
      <c r="C1791" s="27">
        <f t="shared" si="57"/>
        <v>5.1354905211402917</v>
      </c>
      <c r="D1791" s="29">
        <f t="shared" si="58"/>
        <v>-1.4848740382162884E-3</v>
      </c>
    </row>
    <row r="1792" spans="1:4" x14ac:dyDescent="0.3">
      <c r="A1792" s="26">
        <v>44753</v>
      </c>
      <c r="B1792" s="27">
        <v>161.9913024902344</v>
      </c>
      <c r="C1792" s="27">
        <f t="shared" si="57"/>
        <v>5.0875426454592274</v>
      </c>
      <c r="D1792" s="29">
        <f t="shared" si="58"/>
        <v>-9.3365717420149652E-3</v>
      </c>
    </row>
    <row r="1793" spans="1:4" x14ac:dyDescent="0.3">
      <c r="A1793" s="26">
        <v>44754</v>
      </c>
      <c r="B1793" s="27">
        <v>162.37916564941409</v>
      </c>
      <c r="C1793" s="27">
        <f t="shared" si="57"/>
        <v>5.0899341291615485</v>
      </c>
      <c r="D1793" s="29">
        <f t="shared" si="58"/>
        <v>4.7006656631287669E-4</v>
      </c>
    </row>
    <row r="1794" spans="1:4" x14ac:dyDescent="0.3">
      <c r="A1794" s="26">
        <v>44755</v>
      </c>
      <c r="B1794" s="27">
        <v>162.59797668457031</v>
      </c>
      <c r="C1794" s="27">
        <f t="shared" si="57"/>
        <v>5.0912807535219615</v>
      </c>
      <c r="D1794" s="29">
        <f t="shared" si="58"/>
        <v>2.6456616652414944E-4</v>
      </c>
    </row>
    <row r="1795" spans="1:4" x14ac:dyDescent="0.3">
      <c r="A1795" s="26">
        <v>44756</v>
      </c>
      <c r="B1795" s="27">
        <v>157.1876525878906</v>
      </c>
      <c r="C1795" s="27">
        <f t="shared" ref="C1795:C1858" si="59">LN(B1795)</f>
        <v>5.0574403310316587</v>
      </c>
      <c r="D1795" s="29">
        <f t="shared" si="58"/>
        <v>-6.6467405999743878E-3</v>
      </c>
    </row>
    <row r="1796" spans="1:4" x14ac:dyDescent="0.3">
      <c r="A1796" s="26">
        <v>44757</v>
      </c>
      <c r="B1796" s="27">
        <v>163.80137634277341</v>
      </c>
      <c r="C1796" s="27">
        <f t="shared" si="59"/>
        <v>5.0986545739647022</v>
      </c>
      <c r="D1796" s="29">
        <f t="shared" ref="D1796:D1859" si="60">C1796/C1795-1</f>
        <v>8.1492296963268096E-3</v>
      </c>
    </row>
    <row r="1797" spans="1:4" x14ac:dyDescent="0.3">
      <c r="A1797" s="26">
        <v>44760</v>
      </c>
      <c r="B1797" s="27">
        <v>166.31756591796881</v>
      </c>
      <c r="C1797" s="27">
        <f t="shared" si="59"/>
        <v>5.1138990085098186</v>
      </c>
      <c r="D1797" s="29">
        <f t="shared" si="60"/>
        <v>2.9898935736809573E-3</v>
      </c>
    </row>
    <row r="1798" spans="1:4" x14ac:dyDescent="0.3">
      <c r="A1798" s="26">
        <v>44761</v>
      </c>
      <c r="B1798" s="27">
        <v>174.82093811035159</v>
      </c>
      <c r="C1798" s="27">
        <f t="shared" si="59"/>
        <v>5.1637622392879932</v>
      </c>
      <c r="D1798" s="29">
        <f t="shared" si="60"/>
        <v>9.7505309931227302E-3</v>
      </c>
    </row>
    <row r="1799" spans="1:4" x14ac:dyDescent="0.3">
      <c r="A1799" s="26">
        <v>44762</v>
      </c>
      <c r="B1799" s="27">
        <v>182.0910339355469</v>
      </c>
      <c r="C1799" s="27">
        <f t="shared" si="59"/>
        <v>5.2045067484842953</v>
      </c>
      <c r="D1799" s="29">
        <f t="shared" si="60"/>
        <v>7.890469643683673E-3</v>
      </c>
    </row>
    <row r="1800" spans="1:4" x14ac:dyDescent="0.3">
      <c r="A1800" s="26">
        <v>44763</v>
      </c>
      <c r="B1800" s="27">
        <v>182.17059326171881</v>
      </c>
      <c r="C1800" s="27">
        <f t="shared" si="59"/>
        <v>5.204943573675294</v>
      </c>
      <c r="D1800" s="29">
        <f t="shared" si="60"/>
        <v>8.3932101947237214E-5</v>
      </c>
    </row>
    <row r="1801" spans="1:4" x14ac:dyDescent="0.3">
      <c r="A1801" s="26">
        <v>44764</v>
      </c>
      <c r="B1801" s="27">
        <v>168.346435546875</v>
      </c>
      <c r="C1801" s="27">
        <f t="shared" si="59"/>
        <v>5.1260239725101995</v>
      </c>
      <c r="D1801" s="29">
        <f t="shared" si="60"/>
        <v>-1.5162431647528507E-2</v>
      </c>
    </row>
    <row r="1802" spans="1:4" x14ac:dyDescent="0.3">
      <c r="A1802" s="26">
        <v>44767</v>
      </c>
      <c r="B1802" s="27">
        <v>165.74073791503909</v>
      </c>
      <c r="C1802" s="27">
        <f t="shared" si="59"/>
        <v>5.1104247476557001</v>
      </c>
      <c r="D1802" s="29">
        <f t="shared" si="60"/>
        <v>-3.0431431725943536E-3</v>
      </c>
    </row>
    <row r="1803" spans="1:4" x14ac:dyDescent="0.3">
      <c r="A1803" s="26">
        <v>44768</v>
      </c>
      <c r="B1803" s="27">
        <v>158.28166198730469</v>
      </c>
      <c r="C1803" s="27">
        <f t="shared" si="59"/>
        <v>5.0643761167609629</v>
      </c>
      <c r="D1803" s="29">
        <f t="shared" si="60"/>
        <v>-9.010724777008261E-3</v>
      </c>
    </row>
    <row r="1804" spans="1:4" x14ac:dyDescent="0.3">
      <c r="A1804" s="26">
        <v>44769</v>
      </c>
      <c r="B1804" s="27">
        <v>168.6547546386719</v>
      </c>
      <c r="C1804" s="27">
        <f t="shared" si="59"/>
        <v>5.1278537534534108</v>
      </c>
      <c r="D1804" s="29">
        <f t="shared" si="60"/>
        <v>1.2534147391297212E-2</v>
      </c>
    </row>
    <row r="1805" spans="1:4" x14ac:dyDescent="0.3">
      <c r="A1805" s="26">
        <v>44770</v>
      </c>
      <c r="B1805" s="27">
        <v>159.84309387207031</v>
      </c>
      <c r="C1805" s="27">
        <f t="shared" si="59"/>
        <v>5.0741926707694134</v>
      </c>
      <c r="D1805" s="29">
        <f t="shared" si="60"/>
        <v>-1.046462813957183E-2</v>
      </c>
    </row>
    <row r="1806" spans="1:4" x14ac:dyDescent="0.3">
      <c r="A1806" s="26">
        <v>44771</v>
      </c>
      <c r="B1806" s="27">
        <v>158.23191833496091</v>
      </c>
      <c r="C1806" s="27">
        <f t="shared" si="59"/>
        <v>5.0640617943694703</v>
      </c>
      <c r="D1806" s="29">
        <f t="shared" si="60"/>
        <v>-1.9965494133290518E-3</v>
      </c>
    </row>
    <row r="1807" spans="1:4" x14ac:dyDescent="0.3">
      <c r="A1807" s="26">
        <v>44774</v>
      </c>
      <c r="B1807" s="27">
        <v>159.05738830566409</v>
      </c>
      <c r="C1807" s="27">
        <f t="shared" si="59"/>
        <v>5.0692650698397044</v>
      </c>
      <c r="D1807" s="29">
        <f t="shared" si="60"/>
        <v>1.0274905168059512E-3</v>
      </c>
    </row>
    <row r="1808" spans="1:4" x14ac:dyDescent="0.3">
      <c r="A1808" s="26">
        <v>44775</v>
      </c>
      <c r="B1808" s="27">
        <v>159.31599426269531</v>
      </c>
      <c r="C1808" s="27">
        <f t="shared" si="59"/>
        <v>5.0708896152826686</v>
      </c>
      <c r="D1808" s="29">
        <f t="shared" si="60"/>
        <v>3.2046961849152567E-4</v>
      </c>
    </row>
    <row r="1809" spans="1:4" x14ac:dyDescent="0.3">
      <c r="A1809" s="26">
        <v>44776</v>
      </c>
      <c r="B1809" s="27">
        <v>167.87901306152341</v>
      </c>
      <c r="C1809" s="27">
        <f t="shared" si="59"/>
        <v>5.1232435596151538</v>
      </c>
      <c r="D1809" s="29">
        <f t="shared" si="60"/>
        <v>1.0324410173453646E-2</v>
      </c>
    </row>
    <row r="1810" spans="1:4" x14ac:dyDescent="0.3">
      <c r="A1810" s="26">
        <v>44777</v>
      </c>
      <c r="B1810" s="27">
        <v>169.63934326171881</v>
      </c>
      <c r="C1810" s="27">
        <f t="shared" si="59"/>
        <v>5.1336746732343528</v>
      </c>
      <c r="D1810" s="29">
        <f t="shared" si="60"/>
        <v>2.0360370335354983E-3</v>
      </c>
    </row>
    <row r="1811" spans="1:4" x14ac:dyDescent="0.3">
      <c r="A1811" s="26">
        <v>44778</v>
      </c>
      <c r="B1811" s="27">
        <v>166.1982421875</v>
      </c>
      <c r="C1811" s="27">
        <f t="shared" si="59"/>
        <v>5.113181305876247</v>
      </c>
      <c r="D1811" s="29">
        <f t="shared" si="60"/>
        <v>-3.9919489766176985E-3</v>
      </c>
    </row>
    <row r="1812" spans="1:4" x14ac:dyDescent="0.3">
      <c r="A1812" s="26">
        <v>44781</v>
      </c>
      <c r="B1812" s="27">
        <v>169.32110595703119</v>
      </c>
      <c r="C1812" s="27">
        <f t="shared" si="59"/>
        <v>5.131796947388013</v>
      </c>
      <c r="D1812" s="29">
        <f t="shared" si="60"/>
        <v>3.6407161018077172E-3</v>
      </c>
    </row>
    <row r="1813" spans="1:4" x14ac:dyDescent="0.3">
      <c r="A1813" s="26">
        <v>44782</v>
      </c>
      <c r="B1813" s="27">
        <v>167.6104736328125</v>
      </c>
      <c r="C1813" s="27">
        <f t="shared" si="59"/>
        <v>5.1216426779380058</v>
      </c>
      <c r="D1813" s="29">
        <f t="shared" si="60"/>
        <v>-1.9786966542344464E-3</v>
      </c>
    </row>
    <row r="1814" spans="1:4" x14ac:dyDescent="0.3">
      <c r="A1814" s="26">
        <v>44783</v>
      </c>
      <c r="B1814" s="27">
        <v>177.36695861816409</v>
      </c>
      <c r="C1814" s="27">
        <f t="shared" si="59"/>
        <v>5.1782207989664846</v>
      </c>
      <c r="D1814" s="29">
        <f t="shared" si="60"/>
        <v>1.1046870034919554E-2</v>
      </c>
    </row>
    <row r="1815" spans="1:4" x14ac:dyDescent="0.3">
      <c r="A1815" s="26">
        <v>44784</v>
      </c>
      <c r="B1815" s="27">
        <v>176.5215759277344</v>
      </c>
      <c r="C1815" s="27">
        <f t="shared" si="59"/>
        <v>5.1734431121188837</v>
      </c>
      <c r="D1815" s="29">
        <f t="shared" si="60"/>
        <v>-9.226502756611854E-4</v>
      </c>
    </row>
    <row r="1816" spans="1:4" x14ac:dyDescent="0.3">
      <c r="A1816" s="26">
        <v>44785</v>
      </c>
      <c r="B1816" s="27">
        <v>179.5151672363281</v>
      </c>
      <c r="C1816" s="27">
        <f t="shared" si="59"/>
        <v>5.1902597014969691</v>
      </c>
      <c r="D1816" s="29">
        <f t="shared" si="60"/>
        <v>3.2505604127921472E-3</v>
      </c>
    </row>
    <row r="1817" spans="1:4" x14ac:dyDescent="0.3">
      <c r="A1817" s="26">
        <v>44788</v>
      </c>
      <c r="B1817" s="27">
        <v>179.9030456542969</v>
      </c>
      <c r="C1817" s="27">
        <f t="shared" si="59"/>
        <v>5.1924180705202234</v>
      </c>
      <c r="D1817" s="29">
        <f t="shared" si="60"/>
        <v>4.1584990874965477E-4</v>
      </c>
    </row>
    <row r="1818" spans="1:4" x14ac:dyDescent="0.3">
      <c r="A1818" s="26">
        <v>44789</v>
      </c>
      <c r="B1818" s="27">
        <v>178.49078369140619</v>
      </c>
      <c r="C1818" s="27">
        <f t="shared" si="59"/>
        <v>5.1845369679057995</v>
      </c>
      <c r="D1818" s="29">
        <f t="shared" si="60"/>
        <v>-1.5178097193615514E-3</v>
      </c>
    </row>
    <row r="1819" spans="1:4" x14ac:dyDescent="0.3">
      <c r="A1819" s="26">
        <v>44790</v>
      </c>
      <c r="B1819" s="27">
        <v>173.89601135253909</v>
      </c>
      <c r="C1819" s="27">
        <f t="shared" si="59"/>
        <v>5.1584574846540594</v>
      </c>
      <c r="D1819" s="29">
        <f t="shared" si="60"/>
        <v>-5.03024347462111E-3</v>
      </c>
    </row>
    <row r="1820" spans="1:4" x14ac:dyDescent="0.3">
      <c r="A1820" s="26">
        <v>44791</v>
      </c>
      <c r="B1820" s="27">
        <v>173.70701599121091</v>
      </c>
      <c r="C1820" s="27">
        <f t="shared" si="59"/>
        <v>5.157370063860311</v>
      </c>
      <c r="D1820" s="29">
        <f t="shared" si="60"/>
        <v>-2.108034808823156E-4</v>
      </c>
    </row>
    <row r="1821" spans="1:4" x14ac:dyDescent="0.3">
      <c r="A1821" s="26">
        <v>44792</v>
      </c>
      <c r="B1821" s="27">
        <v>167.04359436035159</v>
      </c>
      <c r="C1821" s="27">
        <f t="shared" si="59"/>
        <v>5.1182548224246407</v>
      </c>
      <c r="D1821" s="29">
        <f t="shared" si="60"/>
        <v>-7.5843387135947626E-3</v>
      </c>
    </row>
    <row r="1822" spans="1:4" x14ac:dyDescent="0.3">
      <c r="A1822" s="26">
        <v>44795</v>
      </c>
      <c r="B1822" s="27">
        <v>162.1603698730469</v>
      </c>
      <c r="C1822" s="27">
        <f t="shared" si="59"/>
        <v>5.0885857830553451</v>
      </c>
      <c r="D1822" s="29">
        <f t="shared" si="60"/>
        <v>-5.7967100894051882E-3</v>
      </c>
    </row>
    <row r="1823" spans="1:4" x14ac:dyDescent="0.3">
      <c r="A1823" s="26">
        <v>44796</v>
      </c>
      <c r="B1823" s="27">
        <v>160.23095703125</v>
      </c>
      <c r="C1823" s="27">
        <f t="shared" si="59"/>
        <v>5.0766162558612784</v>
      </c>
      <c r="D1823" s="29">
        <f t="shared" si="60"/>
        <v>-2.3522306008723071E-3</v>
      </c>
    </row>
    <row r="1824" spans="1:4" x14ac:dyDescent="0.3">
      <c r="A1824" s="26">
        <v>44797</v>
      </c>
      <c r="B1824" s="27">
        <v>162.36924743652341</v>
      </c>
      <c r="C1824" s="27">
        <f t="shared" si="59"/>
        <v>5.0898730467205322</v>
      </c>
      <c r="D1824" s="29">
        <f t="shared" si="60"/>
        <v>2.6113438934738387E-3</v>
      </c>
    </row>
    <row r="1825" spans="1:4" x14ac:dyDescent="0.3">
      <c r="A1825" s="26">
        <v>44798</v>
      </c>
      <c r="B1825" s="27">
        <v>167.85911560058591</v>
      </c>
      <c r="C1825" s="27">
        <f t="shared" si="59"/>
        <v>5.1231250299680147</v>
      </c>
      <c r="D1825" s="29">
        <f t="shared" si="60"/>
        <v>6.532969082383433E-3</v>
      </c>
    </row>
    <row r="1826" spans="1:4" x14ac:dyDescent="0.3">
      <c r="A1826" s="26">
        <v>44799</v>
      </c>
      <c r="B1826" s="27">
        <v>160.8973083496094</v>
      </c>
      <c r="C1826" s="27">
        <f t="shared" si="59"/>
        <v>5.0807663251424966</v>
      </c>
      <c r="D1826" s="29">
        <f t="shared" si="60"/>
        <v>-8.2681380168819762E-3</v>
      </c>
    </row>
    <row r="1827" spans="1:4" x14ac:dyDescent="0.3">
      <c r="A1827" s="26">
        <v>44802</v>
      </c>
      <c r="B1827" s="27">
        <v>158.30157470703119</v>
      </c>
      <c r="C1827" s="27">
        <f t="shared" si="59"/>
        <v>5.0645019144498153</v>
      </c>
      <c r="D1827" s="29">
        <f t="shared" si="60"/>
        <v>-3.2011727467559092E-3</v>
      </c>
    </row>
    <row r="1828" spans="1:4" x14ac:dyDescent="0.3">
      <c r="A1828" s="26">
        <v>44803</v>
      </c>
      <c r="B1828" s="27">
        <v>156.30253601074219</v>
      </c>
      <c r="C1828" s="27">
        <f t="shared" si="59"/>
        <v>5.0517934625724639</v>
      </c>
      <c r="D1828" s="29">
        <f t="shared" si="60"/>
        <v>-2.5093191970354534E-3</v>
      </c>
    </row>
    <row r="1829" spans="1:4" x14ac:dyDescent="0.3">
      <c r="A1829" s="26">
        <v>44804</v>
      </c>
      <c r="B1829" s="27">
        <v>162.04100036621091</v>
      </c>
      <c r="C1829" s="27">
        <f t="shared" si="59"/>
        <v>5.0878493918911607</v>
      </c>
      <c r="D1829" s="29">
        <f t="shared" si="60"/>
        <v>7.1372532519047294E-3</v>
      </c>
    </row>
    <row r="1830" spans="1:4" x14ac:dyDescent="0.3">
      <c r="A1830" s="26">
        <v>44805</v>
      </c>
      <c r="B1830" s="27">
        <v>164.45777893066409</v>
      </c>
      <c r="C1830" s="27">
        <f t="shared" si="59"/>
        <v>5.1026538742263563</v>
      </c>
      <c r="D1830" s="29">
        <f t="shared" si="60"/>
        <v>2.9097721246997832E-3</v>
      </c>
    </row>
    <row r="1831" spans="1:4" x14ac:dyDescent="0.3">
      <c r="A1831" s="26">
        <v>44806</v>
      </c>
      <c r="B1831" s="27">
        <v>159.4452819824219</v>
      </c>
      <c r="C1831" s="27">
        <f t="shared" si="59"/>
        <v>5.0717008036951325</v>
      </c>
      <c r="D1831" s="29">
        <f t="shared" si="60"/>
        <v>-6.0660729287496107E-3</v>
      </c>
    </row>
    <row r="1832" spans="1:4" x14ac:dyDescent="0.3">
      <c r="A1832" s="26">
        <v>44810</v>
      </c>
      <c r="B1832" s="27">
        <v>157.67498779296881</v>
      </c>
      <c r="C1832" s="27">
        <f t="shared" si="59"/>
        <v>5.060535875130773</v>
      </c>
      <c r="D1832" s="29">
        <f t="shared" si="60"/>
        <v>-2.2014170386835952E-3</v>
      </c>
    </row>
    <row r="1833" spans="1:4" x14ac:dyDescent="0.3">
      <c r="A1833" s="26">
        <v>44811</v>
      </c>
      <c r="B1833" s="27">
        <v>159.514892578125</v>
      </c>
      <c r="C1833" s="27">
        <f t="shared" si="59"/>
        <v>5.0721372882619233</v>
      </c>
      <c r="D1833" s="29">
        <f t="shared" si="60"/>
        <v>2.2925266053668292E-3</v>
      </c>
    </row>
    <row r="1834" spans="1:4" x14ac:dyDescent="0.3">
      <c r="A1834" s="26">
        <v>44812</v>
      </c>
      <c r="B1834" s="27">
        <v>161.17578125</v>
      </c>
      <c r="C1834" s="27">
        <f t="shared" si="59"/>
        <v>5.0824955784006951</v>
      </c>
      <c r="D1834" s="29">
        <f t="shared" si="60"/>
        <v>2.0421943551771626E-3</v>
      </c>
    </row>
    <row r="1835" spans="1:4" x14ac:dyDescent="0.3">
      <c r="A1835" s="26">
        <v>44813</v>
      </c>
      <c r="B1835" s="27">
        <v>168.22709655761719</v>
      </c>
      <c r="C1835" s="27">
        <f t="shared" si="59"/>
        <v>5.1253148318150732</v>
      </c>
      <c r="D1835" s="29">
        <f t="shared" si="60"/>
        <v>8.4248481388451424E-3</v>
      </c>
    </row>
    <row r="1836" spans="1:4" x14ac:dyDescent="0.3">
      <c r="A1836" s="26">
        <v>44816</v>
      </c>
      <c r="B1836" s="27">
        <v>168.03814697265619</v>
      </c>
      <c r="C1836" s="27">
        <f t="shared" si="59"/>
        <v>5.1241910189412625</v>
      </c>
      <c r="D1836" s="29">
        <f t="shared" si="60"/>
        <v>-2.1926709103503583E-4</v>
      </c>
    </row>
    <row r="1837" spans="1:4" x14ac:dyDescent="0.3">
      <c r="A1837" s="26">
        <v>44817</v>
      </c>
      <c r="B1837" s="27">
        <v>152.29449462890619</v>
      </c>
      <c r="C1837" s="27">
        <f t="shared" si="59"/>
        <v>5.0258161110462192</v>
      </c>
      <c r="D1837" s="29">
        <f t="shared" si="60"/>
        <v>-1.9198134404319944E-2</v>
      </c>
    </row>
    <row r="1838" spans="1:4" x14ac:dyDescent="0.3">
      <c r="A1838" s="26">
        <v>44818</v>
      </c>
      <c r="B1838" s="27">
        <v>150.64356994628909</v>
      </c>
      <c r="C1838" s="27">
        <f t="shared" si="59"/>
        <v>5.0149165825962978</v>
      </c>
      <c r="D1838" s="29">
        <f t="shared" si="60"/>
        <v>-2.1687081678068987E-3</v>
      </c>
    </row>
    <row r="1839" spans="1:4" x14ac:dyDescent="0.3">
      <c r="A1839" s="26">
        <v>44819</v>
      </c>
      <c r="B1839" s="27">
        <v>148.73405456542969</v>
      </c>
      <c r="C1839" s="27">
        <f t="shared" si="59"/>
        <v>5.0021598424810243</v>
      </c>
      <c r="D1839" s="29">
        <f t="shared" si="60"/>
        <v>-2.5437591842593088E-3</v>
      </c>
    </row>
    <row r="1840" spans="1:4" x14ac:dyDescent="0.3">
      <c r="A1840" s="26">
        <v>44820</v>
      </c>
      <c r="B1840" s="27">
        <v>145.4918212890625</v>
      </c>
      <c r="C1840" s="27">
        <f t="shared" si="59"/>
        <v>4.98011987395991</v>
      </c>
      <c r="D1840" s="29">
        <f t="shared" si="60"/>
        <v>-4.4060904119734845E-3</v>
      </c>
    </row>
    <row r="1841" spans="1:4" x14ac:dyDescent="0.3">
      <c r="A1841" s="26">
        <v>44823</v>
      </c>
      <c r="B1841" s="27">
        <v>147.2123718261719</v>
      </c>
      <c r="C1841" s="27">
        <f t="shared" si="59"/>
        <v>4.9918762504951095</v>
      </c>
      <c r="D1841" s="29">
        <f t="shared" si="60"/>
        <v>2.3606613560993583E-3</v>
      </c>
    </row>
    <row r="1842" spans="1:4" x14ac:dyDescent="0.3">
      <c r="A1842" s="26">
        <v>44824</v>
      </c>
      <c r="B1842" s="27">
        <v>145.29290771484381</v>
      </c>
      <c r="C1842" s="27">
        <f t="shared" si="59"/>
        <v>4.9787517580624465</v>
      </c>
      <c r="D1842" s="29">
        <f t="shared" si="60"/>
        <v>-2.6291702306043829E-3</v>
      </c>
    </row>
    <row r="1843" spans="1:4" x14ac:dyDescent="0.3">
      <c r="A1843" s="26">
        <v>44825</v>
      </c>
      <c r="B1843" s="27">
        <v>141.3445739746094</v>
      </c>
      <c r="C1843" s="27">
        <f t="shared" si="59"/>
        <v>4.9512006962404973</v>
      </c>
      <c r="D1843" s="29">
        <f t="shared" si="60"/>
        <v>-5.5337287659168455E-3</v>
      </c>
    </row>
    <row r="1844" spans="1:4" x14ac:dyDescent="0.3">
      <c r="A1844" s="26">
        <v>44826</v>
      </c>
      <c r="B1844" s="27">
        <v>142.040771484375</v>
      </c>
      <c r="C1844" s="27">
        <f t="shared" si="59"/>
        <v>4.9561141395187045</v>
      </c>
      <c r="D1844" s="29">
        <f t="shared" si="60"/>
        <v>9.9237408855956666E-4</v>
      </c>
    </row>
    <row r="1845" spans="1:4" x14ac:dyDescent="0.3">
      <c r="A1845" s="26">
        <v>44827</v>
      </c>
      <c r="B1845" s="27">
        <v>139.64390563964841</v>
      </c>
      <c r="C1845" s="27">
        <f t="shared" si="59"/>
        <v>4.9390956511929387</v>
      </c>
      <c r="D1845" s="29">
        <f t="shared" si="60"/>
        <v>-3.4338370438374843E-3</v>
      </c>
    </row>
    <row r="1846" spans="1:4" x14ac:dyDescent="0.3">
      <c r="A1846" s="26">
        <v>44830</v>
      </c>
      <c r="B1846" s="27">
        <v>135.6259460449219</v>
      </c>
      <c r="C1846" s="27">
        <f t="shared" si="59"/>
        <v>4.9099006997168244</v>
      </c>
      <c r="D1846" s="29">
        <f t="shared" si="60"/>
        <v>-5.9109913105374057E-3</v>
      </c>
    </row>
    <row r="1847" spans="1:4" x14ac:dyDescent="0.3">
      <c r="A1847" s="26">
        <v>44831</v>
      </c>
      <c r="B1847" s="27">
        <v>133.66670227050781</v>
      </c>
      <c r="C1847" s="27">
        <f t="shared" si="59"/>
        <v>4.8953494050013253</v>
      </c>
      <c r="D1847" s="29">
        <f t="shared" si="60"/>
        <v>-2.9636637491137208E-3</v>
      </c>
    </row>
    <row r="1848" spans="1:4" x14ac:dyDescent="0.3">
      <c r="A1848" s="26">
        <v>44832</v>
      </c>
      <c r="B1848" s="27">
        <v>140.8373718261719</v>
      </c>
      <c r="C1848" s="27">
        <f t="shared" si="59"/>
        <v>4.9476058334067741</v>
      </c>
      <c r="D1848" s="29">
        <f t="shared" si="60"/>
        <v>1.067470860242592E-2</v>
      </c>
    </row>
    <row r="1849" spans="1:4" x14ac:dyDescent="0.3">
      <c r="A1849" s="26">
        <v>44833</v>
      </c>
      <c r="B1849" s="27">
        <v>135.6657409667969</v>
      </c>
      <c r="C1849" s="27">
        <f t="shared" si="59"/>
        <v>4.9101940734106426</v>
      </c>
      <c r="D1849" s="29">
        <f t="shared" si="60"/>
        <v>-7.5615886260629317E-3</v>
      </c>
    </row>
    <row r="1850" spans="1:4" x14ac:dyDescent="0.3">
      <c r="A1850" s="26">
        <v>44834</v>
      </c>
      <c r="B1850" s="27">
        <v>134.93971252441409</v>
      </c>
      <c r="C1850" s="27">
        <f t="shared" si="59"/>
        <v>4.9048281048013829</v>
      </c>
      <c r="D1850" s="29">
        <f t="shared" si="60"/>
        <v>-1.0928221021481166E-3</v>
      </c>
    </row>
    <row r="1851" spans="1:4" x14ac:dyDescent="0.3">
      <c r="A1851" s="26">
        <v>44837</v>
      </c>
      <c r="B1851" s="27">
        <v>137.85374450683591</v>
      </c>
      <c r="C1851" s="27">
        <f t="shared" si="59"/>
        <v>4.9261933007340755</v>
      </c>
      <c r="D1851" s="29">
        <f t="shared" si="60"/>
        <v>4.3559520285283426E-3</v>
      </c>
    </row>
    <row r="1852" spans="1:4" x14ac:dyDescent="0.3">
      <c r="A1852" s="26">
        <v>44838</v>
      </c>
      <c r="B1852" s="27">
        <v>139.5146179199219</v>
      </c>
      <c r="C1852" s="27">
        <f t="shared" si="59"/>
        <v>4.938169383727975</v>
      </c>
      <c r="D1852" s="29">
        <f t="shared" si="60"/>
        <v>2.4311029354278091E-3</v>
      </c>
    </row>
    <row r="1853" spans="1:4" x14ac:dyDescent="0.3">
      <c r="A1853" s="26">
        <v>44839</v>
      </c>
      <c r="B1853" s="27">
        <v>138.22169494628909</v>
      </c>
      <c r="C1853" s="27">
        <f t="shared" si="59"/>
        <v>4.928858881258364</v>
      </c>
      <c r="D1853" s="29">
        <f t="shared" si="60"/>
        <v>-1.8854157778164238E-3</v>
      </c>
    </row>
    <row r="1854" spans="1:4" x14ac:dyDescent="0.3">
      <c r="A1854" s="26">
        <v>44840</v>
      </c>
      <c r="B1854" s="27">
        <v>138.31121826171881</v>
      </c>
      <c r="C1854" s="27">
        <f t="shared" si="59"/>
        <v>4.9295063507947647</v>
      </c>
      <c r="D1854" s="29">
        <f t="shared" si="60"/>
        <v>1.3136296899518562E-4</v>
      </c>
    </row>
    <row r="1855" spans="1:4" x14ac:dyDescent="0.3">
      <c r="A1855" s="26">
        <v>44841</v>
      </c>
      <c r="B1855" s="27">
        <v>132.72187805175781</v>
      </c>
      <c r="C1855" s="27">
        <f t="shared" si="59"/>
        <v>4.8882557962624658</v>
      </c>
      <c r="D1855" s="29">
        <f t="shared" si="60"/>
        <v>-8.3680903516126781E-3</v>
      </c>
    </row>
    <row r="1856" spans="1:4" x14ac:dyDescent="0.3">
      <c r="A1856" s="26">
        <v>44844</v>
      </c>
      <c r="B1856" s="27">
        <v>133.0600280761719</v>
      </c>
      <c r="C1856" s="27">
        <f t="shared" si="59"/>
        <v>4.890800365317566</v>
      </c>
      <c r="D1856" s="29">
        <f t="shared" si="60"/>
        <v>5.2054744292351351E-4</v>
      </c>
    </row>
    <row r="1857" spans="1:4" x14ac:dyDescent="0.3">
      <c r="A1857" s="26">
        <v>44845</v>
      </c>
      <c r="B1857" s="27">
        <v>127.8386611938477</v>
      </c>
      <c r="C1857" s="27">
        <f t="shared" si="59"/>
        <v>4.8507690094494205</v>
      </c>
      <c r="D1857" s="29">
        <f t="shared" si="60"/>
        <v>-8.185031667213849E-3</v>
      </c>
    </row>
    <row r="1858" spans="1:4" x14ac:dyDescent="0.3">
      <c r="A1858" s="26">
        <v>44846</v>
      </c>
      <c r="B1858" s="27">
        <v>126.80434417724609</v>
      </c>
      <c r="C1858" s="27">
        <f t="shared" si="59"/>
        <v>4.8426453014891813</v>
      </c>
      <c r="D1858" s="29">
        <f t="shared" si="60"/>
        <v>-1.6747257897488099E-3</v>
      </c>
    </row>
    <row r="1859" spans="1:4" x14ac:dyDescent="0.3">
      <c r="A1859" s="26">
        <v>44847</v>
      </c>
      <c r="B1859" s="27">
        <v>129.5791015625</v>
      </c>
      <c r="C1859" s="27">
        <f t="shared" ref="C1859:C1922" si="61">LN(B1859)</f>
        <v>4.8642915175396793</v>
      </c>
      <c r="D1859" s="29">
        <f t="shared" si="60"/>
        <v>4.4699156561893716E-3</v>
      </c>
    </row>
    <row r="1860" spans="1:4" x14ac:dyDescent="0.3">
      <c r="A1860" s="26">
        <v>44848</v>
      </c>
      <c r="B1860" s="27">
        <v>126.06838226318359</v>
      </c>
      <c r="C1860" s="27">
        <f t="shared" si="61"/>
        <v>4.8368244761086814</v>
      </c>
      <c r="D1860" s="29">
        <f t="shared" ref="D1860:D1923" si="62">C1860/C1859-1</f>
        <v>-5.6466684473899242E-3</v>
      </c>
    </row>
    <row r="1861" spans="1:4" x14ac:dyDescent="0.3">
      <c r="A1861" s="26">
        <v>44851</v>
      </c>
      <c r="B1861" s="27">
        <v>133.30865478515619</v>
      </c>
      <c r="C1861" s="27">
        <f t="shared" si="61"/>
        <v>4.8926671521974399</v>
      </c>
      <c r="D1861" s="29">
        <f t="shared" si="62"/>
        <v>1.1545317876344496E-2</v>
      </c>
    </row>
    <row r="1862" spans="1:4" x14ac:dyDescent="0.3">
      <c r="A1862" s="26">
        <v>44852</v>
      </c>
      <c r="B1862" s="27">
        <v>132.075439453125</v>
      </c>
      <c r="C1862" s="27">
        <f t="shared" si="61"/>
        <v>4.8833732703446735</v>
      </c>
      <c r="D1862" s="29">
        <f t="shared" si="62"/>
        <v>-1.8995532628031109E-3</v>
      </c>
    </row>
    <row r="1863" spans="1:4" x14ac:dyDescent="0.3">
      <c r="A1863" s="26">
        <v>44853</v>
      </c>
      <c r="B1863" s="27">
        <v>132.50306701660159</v>
      </c>
      <c r="C1863" s="27">
        <f t="shared" si="61"/>
        <v>4.8866057924534889</v>
      </c>
      <c r="D1863" s="29">
        <f t="shared" si="62"/>
        <v>6.619445063611451E-4</v>
      </c>
    </row>
    <row r="1864" spans="1:4" x14ac:dyDescent="0.3">
      <c r="A1864" s="26">
        <v>44854</v>
      </c>
      <c r="B1864" s="27">
        <v>130.81236267089841</v>
      </c>
      <c r="C1864" s="27">
        <f t="shared" si="61"/>
        <v>4.8737639503893151</v>
      </c>
      <c r="D1864" s="29">
        <f t="shared" si="62"/>
        <v>-2.6279676752329895E-3</v>
      </c>
    </row>
    <row r="1865" spans="1:4" x14ac:dyDescent="0.3">
      <c r="A1865" s="26">
        <v>44855</v>
      </c>
      <c r="B1865" s="27">
        <v>129.3006286621094</v>
      </c>
      <c r="C1865" s="27">
        <f t="shared" si="61"/>
        <v>4.8621401478086019</v>
      </c>
      <c r="D1865" s="29">
        <f t="shared" si="62"/>
        <v>-2.3849744671743389E-3</v>
      </c>
    </row>
    <row r="1866" spans="1:4" x14ac:dyDescent="0.3">
      <c r="A1866" s="26">
        <v>44858</v>
      </c>
      <c r="B1866" s="27">
        <v>129.0122375488281</v>
      </c>
      <c r="C1866" s="27">
        <f t="shared" si="61"/>
        <v>4.8599072645818966</v>
      </c>
      <c r="D1866" s="29">
        <f t="shared" si="62"/>
        <v>-4.5923876293685328E-4</v>
      </c>
    </row>
    <row r="1867" spans="1:4" x14ac:dyDescent="0.3">
      <c r="A1867" s="26">
        <v>44859</v>
      </c>
      <c r="B1867" s="27">
        <v>136.75971984863281</v>
      </c>
      <c r="C1867" s="27">
        <f t="shared" si="61"/>
        <v>4.918225516279918</v>
      </c>
      <c r="D1867" s="29">
        <f t="shared" si="62"/>
        <v>1.199986924092844E-2</v>
      </c>
    </row>
    <row r="1868" spans="1:4" x14ac:dyDescent="0.3">
      <c r="A1868" s="26">
        <v>44860</v>
      </c>
      <c r="B1868" s="27">
        <v>129.11167907714841</v>
      </c>
      <c r="C1868" s="27">
        <f t="shared" si="61"/>
        <v>4.8606777591144432</v>
      </c>
      <c r="D1868" s="29">
        <f t="shared" si="62"/>
        <v>-1.1700918751078926E-2</v>
      </c>
    </row>
    <row r="1869" spans="1:4" x14ac:dyDescent="0.3">
      <c r="A1869" s="26">
        <v>44861</v>
      </c>
      <c r="B1869" s="27">
        <v>97.405624389648438</v>
      </c>
      <c r="C1869" s="27">
        <f t="shared" si="61"/>
        <v>4.5788839542548931</v>
      </c>
      <c r="D1869" s="29">
        <f t="shared" si="62"/>
        <v>-5.7974179491974698E-2</v>
      </c>
    </row>
    <row r="1870" spans="1:4" x14ac:dyDescent="0.3">
      <c r="A1870" s="26">
        <v>44862</v>
      </c>
      <c r="B1870" s="27">
        <v>98.658744812011719</v>
      </c>
      <c r="C1870" s="27">
        <f t="shared" si="61"/>
        <v>4.5916668733651624</v>
      </c>
      <c r="D1870" s="29">
        <f t="shared" si="62"/>
        <v>2.791710652197521E-3</v>
      </c>
    </row>
    <row r="1871" spans="1:4" x14ac:dyDescent="0.3">
      <c r="A1871" s="26">
        <v>44865</v>
      </c>
      <c r="B1871" s="27">
        <v>92.651710510253906</v>
      </c>
      <c r="C1871" s="27">
        <f t="shared" si="61"/>
        <v>4.5288474146252096</v>
      </c>
      <c r="D1871" s="29">
        <f t="shared" si="62"/>
        <v>-1.3681188220414975E-2</v>
      </c>
    </row>
    <row r="1872" spans="1:4" x14ac:dyDescent="0.3">
      <c r="A1872" s="26">
        <v>44866</v>
      </c>
      <c r="B1872" s="27">
        <v>94.680580139160156</v>
      </c>
      <c r="C1872" s="27">
        <f t="shared" si="61"/>
        <v>4.5505089119945668</v>
      </c>
      <c r="D1872" s="29">
        <f t="shared" si="62"/>
        <v>4.7830044570291719E-3</v>
      </c>
    </row>
    <row r="1873" spans="1:4" x14ac:dyDescent="0.3">
      <c r="A1873" s="26">
        <v>44867</v>
      </c>
      <c r="B1873" s="27">
        <v>90.045997619628906</v>
      </c>
      <c r="C1873" s="27">
        <f t="shared" si="61"/>
        <v>4.5003206244335248</v>
      </c>
      <c r="D1873" s="29">
        <f t="shared" si="62"/>
        <v>-1.1029159272439193E-2</v>
      </c>
    </row>
    <row r="1874" spans="1:4" x14ac:dyDescent="0.3">
      <c r="A1874" s="26">
        <v>44868</v>
      </c>
      <c r="B1874" s="27">
        <v>88.424903869628906</v>
      </c>
      <c r="C1874" s="27">
        <f t="shared" si="61"/>
        <v>4.4821536479507653</v>
      </c>
      <c r="D1874" s="29">
        <f t="shared" si="62"/>
        <v>-4.036818262264652E-3</v>
      </c>
    </row>
    <row r="1875" spans="1:4" x14ac:dyDescent="0.3">
      <c r="A1875" s="26">
        <v>44869</v>
      </c>
      <c r="B1875" s="27">
        <v>90.294631958007813</v>
      </c>
      <c r="C1875" s="27">
        <f t="shared" si="61"/>
        <v>4.5030780119007376</v>
      </c>
      <c r="D1875" s="29">
        <f t="shared" si="62"/>
        <v>4.6683727496801275E-3</v>
      </c>
    </row>
    <row r="1876" spans="1:4" x14ac:dyDescent="0.3">
      <c r="A1876" s="26">
        <v>44872</v>
      </c>
      <c r="B1876" s="27">
        <v>96.192276000976563</v>
      </c>
      <c r="C1876" s="27">
        <f t="shared" si="61"/>
        <v>4.5663490633980226</v>
      </c>
      <c r="D1876" s="29">
        <f t="shared" si="62"/>
        <v>1.4050623002771045E-2</v>
      </c>
    </row>
    <row r="1877" spans="1:4" x14ac:dyDescent="0.3">
      <c r="A1877" s="26">
        <v>44873</v>
      </c>
      <c r="B1877" s="27">
        <v>95.943641662597656</v>
      </c>
      <c r="C1877" s="27">
        <f t="shared" si="61"/>
        <v>4.563760953062503</v>
      </c>
      <c r="D1877" s="29">
        <f t="shared" si="62"/>
        <v>-5.6677890796064112E-4</v>
      </c>
    </row>
    <row r="1878" spans="1:4" x14ac:dyDescent="0.3">
      <c r="A1878" s="26">
        <v>44874</v>
      </c>
      <c r="B1878" s="27">
        <v>100.91636657714839</v>
      </c>
      <c r="C1878" s="27">
        <f t="shared" si="61"/>
        <v>4.6142921201238254</v>
      </c>
      <c r="D1878" s="29">
        <f t="shared" si="62"/>
        <v>1.1072264209503357E-2</v>
      </c>
    </row>
    <row r="1879" spans="1:4" x14ac:dyDescent="0.3">
      <c r="A1879" s="26">
        <v>44875</v>
      </c>
      <c r="B1879" s="27">
        <v>111.25962066650391</v>
      </c>
      <c r="C1879" s="27">
        <f t="shared" si="61"/>
        <v>4.71186639520851</v>
      </c>
      <c r="D1879" s="29">
        <f t="shared" si="62"/>
        <v>2.1146098371003452E-2</v>
      </c>
    </row>
    <row r="1880" spans="1:4" x14ac:dyDescent="0.3">
      <c r="A1880" s="26">
        <v>44876</v>
      </c>
      <c r="B1880" s="27">
        <v>112.40334320068359</v>
      </c>
      <c r="C1880" s="27">
        <f t="shared" si="61"/>
        <v>4.7220936807955773</v>
      </c>
      <c r="D1880" s="29">
        <f t="shared" si="62"/>
        <v>2.1705381114938138E-3</v>
      </c>
    </row>
    <row r="1881" spans="1:4" x14ac:dyDescent="0.3">
      <c r="A1881" s="26">
        <v>44879</v>
      </c>
      <c r="B1881" s="27">
        <v>113.596809387207</v>
      </c>
      <c r="C1881" s="27">
        <f t="shared" si="61"/>
        <v>4.7326554195124011</v>
      </c>
      <c r="D1881" s="29">
        <f t="shared" si="62"/>
        <v>2.2366643761808636E-3</v>
      </c>
    </row>
    <row r="1882" spans="1:4" x14ac:dyDescent="0.3">
      <c r="A1882" s="26">
        <v>44880</v>
      </c>
      <c r="B1882" s="27">
        <v>116.4412002563477</v>
      </c>
      <c r="C1882" s="27">
        <f t="shared" si="61"/>
        <v>4.7573864267626993</v>
      </c>
      <c r="D1882" s="29">
        <f t="shared" si="62"/>
        <v>5.2256091048450415E-3</v>
      </c>
    </row>
    <row r="1883" spans="1:4" x14ac:dyDescent="0.3">
      <c r="A1883" s="26">
        <v>44881</v>
      </c>
      <c r="B1883" s="27">
        <v>112.61220550537109</v>
      </c>
      <c r="C1883" s="27">
        <f t="shared" si="61"/>
        <v>4.7239501068592196</v>
      </c>
      <c r="D1883" s="29">
        <f t="shared" si="62"/>
        <v>-7.0282959810419321E-3</v>
      </c>
    </row>
    <row r="1884" spans="1:4" x14ac:dyDescent="0.3">
      <c r="A1884" s="26">
        <v>44882</v>
      </c>
      <c r="B1884" s="27">
        <v>110.841911315918</v>
      </c>
      <c r="C1884" s="27">
        <f t="shared" si="61"/>
        <v>4.7081049637645256</v>
      </c>
      <c r="D1884" s="29">
        <f t="shared" si="62"/>
        <v>-3.3542147432266134E-3</v>
      </c>
    </row>
    <row r="1885" spans="1:4" x14ac:dyDescent="0.3">
      <c r="A1885" s="26">
        <v>44883</v>
      </c>
      <c r="B1885" s="27">
        <v>111.4386444091797</v>
      </c>
      <c r="C1885" s="27">
        <f t="shared" si="61"/>
        <v>4.7134741650865424</v>
      </c>
      <c r="D1885" s="29">
        <f t="shared" si="62"/>
        <v>1.1404166566677532E-3</v>
      </c>
    </row>
    <row r="1886" spans="1:4" x14ac:dyDescent="0.3">
      <c r="A1886" s="26">
        <v>44886</v>
      </c>
      <c r="B1886" s="27">
        <v>109.2605895996094</v>
      </c>
      <c r="C1886" s="27">
        <f t="shared" si="61"/>
        <v>4.6937357592518349</v>
      </c>
      <c r="D1886" s="29">
        <f t="shared" si="62"/>
        <v>-4.1876554624852291E-3</v>
      </c>
    </row>
    <row r="1887" spans="1:4" x14ac:dyDescent="0.3">
      <c r="A1887" s="26">
        <v>44887</v>
      </c>
      <c r="B1887" s="27">
        <v>110.83197021484381</v>
      </c>
      <c r="C1887" s="27">
        <f t="shared" si="61"/>
        <v>4.708015272538729</v>
      </c>
      <c r="D1887" s="29">
        <f t="shared" si="62"/>
        <v>3.0422490781991662E-3</v>
      </c>
    </row>
    <row r="1888" spans="1:4" x14ac:dyDescent="0.3">
      <c r="A1888" s="26">
        <v>44888</v>
      </c>
      <c r="B1888" s="27">
        <v>111.6276016235352</v>
      </c>
      <c r="C1888" s="27">
        <f t="shared" si="61"/>
        <v>4.7151683457428479</v>
      </c>
      <c r="D1888" s="29">
        <f t="shared" si="62"/>
        <v>1.519339422249022E-3</v>
      </c>
    </row>
    <row r="1889" spans="1:4" x14ac:dyDescent="0.3">
      <c r="A1889" s="26">
        <v>44890</v>
      </c>
      <c r="B1889" s="27">
        <v>110.80214691162109</v>
      </c>
      <c r="C1889" s="27">
        <f t="shared" si="61"/>
        <v>4.7077461505841365</v>
      </c>
      <c r="D1889" s="29">
        <f t="shared" si="62"/>
        <v>-1.5741103210901164E-3</v>
      </c>
    </row>
    <row r="1890" spans="1:4" x14ac:dyDescent="0.3">
      <c r="A1890" s="26">
        <v>44893</v>
      </c>
      <c r="B1890" s="27">
        <v>108.1864776611328</v>
      </c>
      <c r="C1890" s="27">
        <f t="shared" si="61"/>
        <v>4.6838563831968774</v>
      </c>
      <c r="D1890" s="29">
        <f t="shared" si="62"/>
        <v>-5.0745657525087529E-3</v>
      </c>
    </row>
    <row r="1891" spans="1:4" x14ac:dyDescent="0.3">
      <c r="A1891" s="26">
        <v>44894</v>
      </c>
      <c r="B1891" s="27">
        <v>108.86277770996089</v>
      </c>
      <c r="C1891" s="27">
        <f t="shared" si="61"/>
        <v>4.6900881690314353</v>
      </c>
      <c r="D1891" s="29">
        <f t="shared" si="62"/>
        <v>1.3304818347792402E-3</v>
      </c>
    </row>
    <row r="1892" spans="1:4" x14ac:dyDescent="0.3">
      <c r="A1892" s="26">
        <v>44895</v>
      </c>
      <c r="B1892" s="27">
        <v>117.4556350708008</v>
      </c>
      <c r="C1892" s="27">
        <f t="shared" si="61"/>
        <v>4.7660606884197287</v>
      </c>
      <c r="D1892" s="29">
        <f t="shared" si="62"/>
        <v>1.619852690402257E-2</v>
      </c>
    </row>
    <row r="1893" spans="1:4" x14ac:dyDescent="0.3">
      <c r="A1893" s="26">
        <v>44896</v>
      </c>
      <c r="B1893" s="27">
        <v>119.7828674316406</v>
      </c>
      <c r="C1893" s="27">
        <f t="shared" si="61"/>
        <v>4.7856806657018964</v>
      </c>
      <c r="D1893" s="29">
        <f t="shared" si="62"/>
        <v>4.1166024867955731E-3</v>
      </c>
    </row>
    <row r="1894" spans="1:4" x14ac:dyDescent="0.3">
      <c r="A1894" s="26">
        <v>44897</v>
      </c>
      <c r="B1894" s="27">
        <v>122.8162155151367</v>
      </c>
      <c r="C1894" s="27">
        <f t="shared" si="61"/>
        <v>4.8106890551643158</v>
      </c>
      <c r="D1894" s="29">
        <f t="shared" si="62"/>
        <v>5.2256703297506313E-3</v>
      </c>
    </row>
    <row r="1895" spans="1:4" x14ac:dyDescent="0.3">
      <c r="A1895" s="26">
        <v>44900</v>
      </c>
      <c r="B1895" s="27">
        <v>121.7620010375977</v>
      </c>
      <c r="C1895" s="27">
        <f t="shared" si="61"/>
        <v>4.8020683282555821</v>
      </c>
      <c r="D1895" s="29">
        <f t="shared" si="62"/>
        <v>-1.791994204963121E-3</v>
      </c>
    </row>
    <row r="1896" spans="1:4" x14ac:dyDescent="0.3">
      <c r="A1896" s="26">
        <v>44901</v>
      </c>
      <c r="B1896" s="27">
        <v>113.4973449707031</v>
      </c>
      <c r="C1896" s="27">
        <f t="shared" si="61"/>
        <v>4.7317794443192458</v>
      </c>
      <c r="D1896" s="29">
        <f t="shared" si="62"/>
        <v>-1.4637210287649083E-2</v>
      </c>
    </row>
    <row r="1897" spans="1:4" x14ac:dyDescent="0.3">
      <c r="A1897" s="26">
        <v>44902</v>
      </c>
      <c r="B1897" s="27">
        <v>113.3083801269531</v>
      </c>
      <c r="C1897" s="27">
        <f t="shared" si="61"/>
        <v>4.7301131293495322</v>
      </c>
      <c r="D1897" s="29">
        <f t="shared" si="62"/>
        <v>-3.5215398124988084E-4</v>
      </c>
    </row>
    <row r="1898" spans="1:4" x14ac:dyDescent="0.3">
      <c r="A1898" s="26">
        <v>44903</v>
      </c>
      <c r="B1898" s="27">
        <v>114.70074462890619</v>
      </c>
      <c r="C1898" s="27">
        <f t="shared" si="61"/>
        <v>4.742326516083792</v>
      </c>
      <c r="D1898" s="29">
        <f t="shared" si="62"/>
        <v>2.582049604369363E-3</v>
      </c>
    </row>
    <row r="1899" spans="1:4" x14ac:dyDescent="0.3">
      <c r="A1899" s="26">
        <v>44904</v>
      </c>
      <c r="B1899" s="27">
        <v>115.2676315307617</v>
      </c>
      <c r="C1899" s="27">
        <f t="shared" si="61"/>
        <v>4.7472566552582647</v>
      </c>
      <c r="D1899" s="29">
        <f t="shared" si="62"/>
        <v>1.0396034852835356E-3</v>
      </c>
    </row>
    <row r="1900" spans="1:4" x14ac:dyDescent="0.3">
      <c r="A1900" s="26">
        <v>44907</v>
      </c>
      <c r="B1900" s="27">
        <v>114.08412170410161</v>
      </c>
      <c r="C1900" s="27">
        <f t="shared" si="61"/>
        <v>4.7369360859581047</v>
      </c>
      <c r="D1900" s="29">
        <f t="shared" si="62"/>
        <v>-2.1740070212400431E-3</v>
      </c>
    </row>
    <row r="1901" spans="1:4" x14ac:dyDescent="0.3">
      <c r="A1901" s="26">
        <v>44908</v>
      </c>
      <c r="B1901" s="27">
        <v>119.4944381713867</v>
      </c>
      <c r="C1901" s="27">
        <f t="shared" si="61"/>
        <v>4.7832698277895735</v>
      </c>
      <c r="D1901" s="29">
        <f t="shared" si="62"/>
        <v>9.7813736539147378E-3</v>
      </c>
    </row>
    <row r="1902" spans="1:4" x14ac:dyDescent="0.3">
      <c r="A1902" s="26">
        <v>44909</v>
      </c>
      <c r="B1902" s="27">
        <v>120.9265823364258</v>
      </c>
      <c r="C1902" s="27">
        <f t="shared" si="61"/>
        <v>4.7951836038946842</v>
      </c>
      <c r="D1902" s="29">
        <f t="shared" si="62"/>
        <v>2.4907179678417268E-3</v>
      </c>
    </row>
    <row r="1903" spans="1:4" x14ac:dyDescent="0.3">
      <c r="A1903" s="26">
        <v>44910</v>
      </c>
      <c r="B1903" s="27">
        <v>115.5162658691406</v>
      </c>
      <c r="C1903" s="27">
        <f t="shared" si="61"/>
        <v>4.7494113500820792</v>
      </c>
      <c r="D1903" s="29">
        <f t="shared" si="62"/>
        <v>-9.5454642811650947E-3</v>
      </c>
    </row>
    <row r="1904" spans="1:4" x14ac:dyDescent="0.3">
      <c r="A1904" s="26">
        <v>44911</v>
      </c>
      <c r="B1904" s="27">
        <v>118.7783737182617</v>
      </c>
      <c r="C1904" s="27">
        <f t="shared" si="61"/>
        <v>4.7772593509487891</v>
      </c>
      <c r="D1904" s="29">
        <f t="shared" si="62"/>
        <v>5.8634636619185887E-3</v>
      </c>
    </row>
    <row r="1905" spans="1:4" x14ac:dyDescent="0.3">
      <c r="A1905" s="26">
        <v>44914</v>
      </c>
      <c r="B1905" s="27">
        <v>113.85536956787109</v>
      </c>
      <c r="C1905" s="27">
        <f t="shared" si="61"/>
        <v>4.7349289549274136</v>
      </c>
      <c r="D1905" s="29">
        <f t="shared" si="62"/>
        <v>-8.8608117984987356E-3</v>
      </c>
    </row>
    <row r="1906" spans="1:4" x14ac:dyDescent="0.3">
      <c r="A1906" s="26">
        <v>44915</v>
      </c>
      <c r="B1906" s="27">
        <v>116.4511337280273</v>
      </c>
      <c r="C1906" s="27">
        <f t="shared" si="61"/>
        <v>4.7574717320324407</v>
      </c>
      <c r="D1906" s="29">
        <f t="shared" si="62"/>
        <v>4.7609536108388362E-3</v>
      </c>
    </row>
    <row r="1907" spans="1:4" x14ac:dyDescent="0.3">
      <c r="A1907" s="26">
        <v>44916</v>
      </c>
      <c r="B1907" s="27">
        <v>119.1065673828125</v>
      </c>
      <c r="C1907" s="27">
        <f t="shared" si="61"/>
        <v>4.7800186165942575</v>
      </c>
      <c r="D1907" s="29">
        <f t="shared" si="62"/>
        <v>4.7392577048870344E-3</v>
      </c>
    </row>
    <row r="1908" spans="1:4" x14ac:dyDescent="0.3">
      <c r="A1908" s="26">
        <v>44917</v>
      </c>
      <c r="B1908" s="27">
        <v>116.48097991943359</v>
      </c>
      <c r="C1908" s="27">
        <f t="shared" si="61"/>
        <v>4.757727997182851</v>
      </c>
      <c r="D1908" s="29">
        <f t="shared" si="62"/>
        <v>-4.6632913382435026E-3</v>
      </c>
    </row>
    <row r="1909" spans="1:4" x14ac:dyDescent="0.3">
      <c r="A1909" s="26">
        <v>44918</v>
      </c>
      <c r="B1909" s="27">
        <v>117.3959655761719</v>
      </c>
      <c r="C1909" s="27">
        <f t="shared" si="61"/>
        <v>4.7655525420349614</v>
      </c>
      <c r="D1909" s="29">
        <f t="shared" si="62"/>
        <v>1.6445969287743889E-3</v>
      </c>
    </row>
    <row r="1910" spans="1:4" x14ac:dyDescent="0.3">
      <c r="A1910" s="26">
        <v>44922</v>
      </c>
      <c r="B1910" s="27">
        <v>116.24228668212891</v>
      </c>
      <c r="C1910" s="27">
        <f t="shared" si="61"/>
        <v>4.7556766911446609</v>
      </c>
      <c r="D1910" s="29">
        <f t="shared" si="62"/>
        <v>-2.0723412034994171E-3</v>
      </c>
    </row>
    <row r="1911" spans="1:4" x14ac:dyDescent="0.3">
      <c r="A1911" s="26">
        <v>44923</v>
      </c>
      <c r="B1911" s="27">
        <v>114.9891738891602</v>
      </c>
      <c r="C1911" s="27">
        <f t="shared" si="61"/>
        <v>4.7448379838375345</v>
      </c>
      <c r="D1911" s="29">
        <f t="shared" si="62"/>
        <v>-2.2791093699259246E-3</v>
      </c>
    </row>
    <row r="1912" spans="1:4" x14ac:dyDescent="0.3">
      <c r="A1912" s="26">
        <v>44924</v>
      </c>
      <c r="B1912" s="27">
        <v>119.6038513183594</v>
      </c>
      <c r="C1912" s="27">
        <f t="shared" si="61"/>
        <v>4.7841850426565928</v>
      </c>
      <c r="D1912" s="29">
        <f t="shared" si="62"/>
        <v>8.2926032359982305E-3</v>
      </c>
    </row>
    <row r="1913" spans="1:4" x14ac:dyDescent="0.3">
      <c r="A1913" s="26">
        <v>44925</v>
      </c>
      <c r="B1913" s="27">
        <v>119.6834030151367</v>
      </c>
      <c r="C1913" s="27">
        <f t="shared" si="61"/>
        <v>4.7848499481061513</v>
      </c>
      <c r="D1913" s="29">
        <f t="shared" si="62"/>
        <v>1.3897987716404714E-4</v>
      </c>
    </row>
    <row r="1914" spans="1:4" x14ac:dyDescent="0.3">
      <c r="A1914" s="26">
        <v>44929</v>
      </c>
      <c r="B1914" s="27">
        <v>124.0594024658203</v>
      </c>
      <c r="C1914" s="27">
        <f t="shared" si="61"/>
        <v>4.8207605030399039</v>
      </c>
      <c r="D1914" s="29">
        <f t="shared" si="62"/>
        <v>7.5050535175018585E-3</v>
      </c>
    </row>
    <row r="1915" spans="1:4" x14ac:dyDescent="0.3">
      <c r="A1915" s="26">
        <v>44930</v>
      </c>
      <c r="B1915" s="27">
        <v>126.6750564575195</v>
      </c>
      <c r="C1915" s="27">
        <f t="shared" si="61"/>
        <v>4.8416251970498116</v>
      </c>
      <c r="D1915" s="29">
        <f t="shared" si="62"/>
        <v>4.3280918014390046E-3</v>
      </c>
    </row>
    <row r="1916" spans="1:4" x14ac:dyDescent="0.3">
      <c r="A1916" s="26">
        <v>44931</v>
      </c>
      <c r="B1916" s="27">
        <v>126.2473983764648</v>
      </c>
      <c r="C1916" s="27">
        <f t="shared" si="61"/>
        <v>4.838243461024053</v>
      </c>
      <c r="D1916" s="29">
        <f t="shared" si="62"/>
        <v>-6.9847125461497406E-4</v>
      </c>
    </row>
    <row r="1917" spans="1:4" x14ac:dyDescent="0.3">
      <c r="A1917" s="26">
        <v>44932</v>
      </c>
      <c r="B1917" s="27">
        <v>129.31062316894531</v>
      </c>
      <c r="C1917" s="27">
        <f t="shared" si="61"/>
        <v>4.8622174414821764</v>
      </c>
      <c r="D1917" s="29">
        <f t="shared" si="62"/>
        <v>4.9551000587824134E-3</v>
      </c>
    </row>
    <row r="1918" spans="1:4" x14ac:dyDescent="0.3">
      <c r="A1918" s="26">
        <v>44935</v>
      </c>
      <c r="B1918" s="27">
        <v>128.76361083984381</v>
      </c>
      <c r="C1918" s="27">
        <f t="shared" si="61"/>
        <v>4.8579782492173038</v>
      </c>
      <c r="D1918" s="29">
        <f t="shared" si="62"/>
        <v>-8.7186398302674384E-4</v>
      </c>
    </row>
    <row r="1919" spans="1:4" x14ac:dyDescent="0.3">
      <c r="A1919" s="26">
        <v>44936</v>
      </c>
      <c r="B1919" s="27">
        <v>132.264404296875</v>
      </c>
      <c r="C1919" s="27">
        <f t="shared" si="61"/>
        <v>4.8848029819860024</v>
      </c>
      <c r="D1919" s="29">
        <f t="shared" si="62"/>
        <v>5.5217893931536199E-3</v>
      </c>
    </row>
    <row r="1920" spans="1:4" x14ac:dyDescent="0.3">
      <c r="A1920" s="26">
        <v>44937</v>
      </c>
      <c r="B1920" s="27">
        <v>132.16493225097659</v>
      </c>
      <c r="C1920" s="27">
        <f t="shared" si="61"/>
        <v>4.8840506293772554</v>
      </c>
      <c r="D1920" s="29">
        <f t="shared" si="62"/>
        <v>-1.5401902830503023E-4</v>
      </c>
    </row>
    <row r="1921" spans="1:4" x14ac:dyDescent="0.3">
      <c r="A1921" s="26">
        <v>44938</v>
      </c>
      <c r="B1921" s="27">
        <v>135.96409606933591</v>
      </c>
      <c r="C1921" s="27">
        <f t="shared" si="61"/>
        <v>4.9123908513918755</v>
      </c>
      <c r="D1921" s="29">
        <f t="shared" si="62"/>
        <v>5.8026061081666302E-3</v>
      </c>
    </row>
    <row r="1922" spans="1:4" x14ac:dyDescent="0.3">
      <c r="A1922" s="26">
        <v>44939</v>
      </c>
      <c r="B1922" s="27">
        <v>136.2326354980469</v>
      </c>
      <c r="C1922" s="27">
        <f t="shared" si="61"/>
        <v>4.9143639795355423</v>
      </c>
      <c r="D1922" s="29">
        <f t="shared" si="62"/>
        <v>4.0166350833170661E-4</v>
      </c>
    </row>
    <row r="1923" spans="1:4" x14ac:dyDescent="0.3">
      <c r="A1923" s="26">
        <v>44943</v>
      </c>
      <c r="B1923" s="27">
        <v>134.6214599609375</v>
      </c>
      <c r="C1923" s="27">
        <f t="shared" ref="C1923:C1986" si="63">LN(B1923)</f>
        <v>4.9024668395760367</v>
      </c>
      <c r="D1923" s="29">
        <f t="shared" si="62"/>
        <v>-2.4208910876458711E-3</v>
      </c>
    </row>
    <row r="1924" spans="1:4" x14ac:dyDescent="0.3">
      <c r="A1924" s="26">
        <v>44944</v>
      </c>
      <c r="B1924" s="27">
        <v>132.29423522949219</v>
      </c>
      <c r="C1924" s="27">
        <f t="shared" si="63"/>
        <v>4.8850284966983324</v>
      </c>
      <c r="D1924" s="29">
        <f t="shared" ref="D1924:D1987" si="64">C1924/C1923-1</f>
        <v>-3.5570547335334046E-3</v>
      </c>
    </row>
    <row r="1925" spans="1:4" x14ac:dyDescent="0.3">
      <c r="A1925" s="26">
        <v>44945</v>
      </c>
      <c r="B1925" s="27">
        <v>135.4071350097656</v>
      </c>
      <c r="C1925" s="27">
        <f t="shared" si="63"/>
        <v>4.90828605487832</v>
      </c>
      <c r="D1925" s="29">
        <f t="shared" si="64"/>
        <v>4.7609872072817971E-3</v>
      </c>
    </row>
    <row r="1926" spans="1:4" x14ac:dyDescent="0.3">
      <c r="A1926" s="26">
        <v>44946</v>
      </c>
      <c r="B1926" s="27">
        <v>138.60957336425781</v>
      </c>
      <c r="C1926" s="27">
        <f t="shared" si="63"/>
        <v>4.9316611562626411</v>
      </c>
      <c r="D1926" s="29">
        <f t="shared" si="64"/>
        <v>4.762375526399687E-3</v>
      </c>
    </row>
    <row r="1927" spans="1:4" x14ac:dyDescent="0.3">
      <c r="A1927" s="26">
        <v>44949</v>
      </c>
      <c r="B1927" s="27">
        <v>142.48829650878909</v>
      </c>
      <c r="C1927" s="27">
        <f t="shared" si="63"/>
        <v>4.9592598665729879</v>
      </c>
      <c r="D1927" s="29">
        <f t="shared" si="64"/>
        <v>5.5962300401153353E-3</v>
      </c>
    </row>
    <row r="1928" spans="1:4" x14ac:dyDescent="0.3">
      <c r="A1928" s="26">
        <v>44950</v>
      </c>
      <c r="B1928" s="27">
        <v>142.3590087890625</v>
      </c>
      <c r="C1928" s="27">
        <f t="shared" si="63"/>
        <v>4.9583520979109696</v>
      </c>
      <c r="D1928" s="29">
        <f t="shared" si="64"/>
        <v>-1.8304518949230353E-4</v>
      </c>
    </row>
    <row r="1929" spans="1:4" x14ac:dyDescent="0.3">
      <c r="A1929" s="26">
        <v>44951</v>
      </c>
      <c r="B1929" s="27">
        <v>140.72795104980469</v>
      </c>
      <c r="C1929" s="27">
        <f t="shared" si="63"/>
        <v>4.9468286014610365</v>
      </c>
      <c r="D1929" s="29">
        <f t="shared" si="64"/>
        <v>-2.3240577156244946E-3</v>
      </c>
    </row>
    <row r="1930" spans="1:4" x14ac:dyDescent="0.3">
      <c r="A1930" s="26">
        <v>44952</v>
      </c>
      <c r="B1930" s="27">
        <v>146.4963073730469</v>
      </c>
      <c r="C1930" s="27">
        <f t="shared" si="63"/>
        <v>4.9870002224947232</v>
      </c>
      <c r="D1930" s="29">
        <f t="shared" si="64"/>
        <v>8.120681808506891E-3</v>
      </c>
    </row>
    <row r="1931" spans="1:4" x14ac:dyDescent="0.3">
      <c r="A1931" s="26">
        <v>44953</v>
      </c>
      <c r="B1931" s="27">
        <v>150.9120788574219</v>
      </c>
      <c r="C1931" s="27">
        <f t="shared" si="63"/>
        <v>5.0166974080138225</v>
      </c>
      <c r="D1931" s="29">
        <f t="shared" si="64"/>
        <v>5.9549196298698259E-3</v>
      </c>
    </row>
    <row r="1932" spans="1:4" x14ac:dyDescent="0.3">
      <c r="A1932" s="26">
        <v>44956</v>
      </c>
      <c r="B1932" s="27">
        <v>146.25761413574219</v>
      </c>
      <c r="C1932" s="27">
        <f t="shared" si="63"/>
        <v>4.9853695472233763</v>
      </c>
      <c r="D1932" s="29">
        <f t="shared" si="64"/>
        <v>-6.2447180370899247E-3</v>
      </c>
    </row>
    <row r="1933" spans="1:4" x14ac:dyDescent="0.3">
      <c r="A1933" s="26">
        <v>44957</v>
      </c>
      <c r="B1933" s="27">
        <v>148.15721130371091</v>
      </c>
      <c r="C1933" s="27">
        <f t="shared" si="63"/>
        <v>4.9982739485265535</v>
      </c>
      <c r="D1933" s="29">
        <f t="shared" si="64"/>
        <v>2.5884543123517734E-3</v>
      </c>
    </row>
    <row r="1934" spans="1:4" x14ac:dyDescent="0.3">
      <c r="A1934" s="26">
        <v>44958</v>
      </c>
      <c r="B1934" s="27">
        <v>152.28456115722659</v>
      </c>
      <c r="C1934" s="27">
        <f t="shared" si="63"/>
        <v>5.0257508835035205</v>
      </c>
      <c r="D1934" s="29">
        <f t="shared" si="64"/>
        <v>5.4972847146697035E-3</v>
      </c>
    </row>
    <row r="1935" spans="1:4" x14ac:dyDescent="0.3">
      <c r="A1935" s="26">
        <v>44959</v>
      </c>
      <c r="B1935" s="27">
        <v>187.74005126953119</v>
      </c>
      <c r="C1935" s="27">
        <f t="shared" si="63"/>
        <v>5.2350582999967559</v>
      </c>
      <c r="D1935" s="29">
        <f t="shared" si="64"/>
        <v>4.164699392090121E-2</v>
      </c>
    </row>
    <row r="1936" spans="1:4" x14ac:dyDescent="0.3">
      <c r="A1936" s="26">
        <v>44960</v>
      </c>
      <c r="B1936" s="27">
        <v>185.51226806640619</v>
      </c>
      <c r="C1936" s="27">
        <f t="shared" si="63"/>
        <v>5.2231210149895331</v>
      </c>
      <c r="D1936" s="29">
        <f t="shared" si="64"/>
        <v>-2.2802582747225575E-3</v>
      </c>
    </row>
    <row r="1937" spans="1:4" x14ac:dyDescent="0.3">
      <c r="A1937" s="26">
        <v>44963</v>
      </c>
      <c r="B1937" s="27">
        <v>185.0448303222656</v>
      </c>
      <c r="C1937" s="27">
        <f t="shared" si="63"/>
        <v>5.2205981217884068</v>
      </c>
      <c r="D1937" s="29">
        <f t="shared" si="64"/>
        <v>-4.8302407581324314E-4</v>
      </c>
    </row>
    <row r="1938" spans="1:4" x14ac:dyDescent="0.3">
      <c r="A1938" s="26">
        <v>44964</v>
      </c>
      <c r="B1938" s="27">
        <v>190.5744934082031</v>
      </c>
      <c r="C1938" s="27">
        <f t="shared" si="63"/>
        <v>5.2500431596428268</v>
      </c>
      <c r="D1938" s="29">
        <f t="shared" si="64"/>
        <v>5.6401655840025988E-3</v>
      </c>
    </row>
    <row r="1939" spans="1:4" x14ac:dyDescent="0.3">
      <c r="A1939" s="26">
        <v>44965</v>
      </c>
      <c r="B1939" s="27">
        <v>182.42918395996091</v>
      </c>
      <c r="C1939" s="27">
        <f t="shared" si="63"/>
        <v>5.2063620646221187</v>
      </c>
      <c r="D1939" s="29">
        <f t="shared" si="64"/>
        <v>-8.3201401764627647E-3</v>
      </c>
    </row>
    <row r="1940" spans="1:4" x14ac:dyDescent="0.3">
      <c r="A1940" s="26">
        <v>44966</v>
      </c>
      <c r="B1940" s="27">
        <v>176.94923400878909</v>
      </c>
      <c r="C1940" s="27">
        <f t="shared" si="63"/>
        <v>5.1758628779253018</v>
      </c>
      <c r="D1940" s="29">
        <f t="shared" si="64"/>
        <v>-5.858061025771244E-3</v>
      </c>
    </row>
    <row r="1941" spans="1:4" x14ac:dyDescent="0.3">
      <c r="A1941" s="26">
        <v>44967</v>
      </c>
      <c r="B1941" s="27">
        <v>173.19981384277341</v>
      </c>
      <c r="C1941" s="27">
        <f t="shared" si="63"/>
        <v>5.15444592131698</v>
      </c>
      <c r="D1941" s="29">
        <f t="shared" si="64"/>
        <v>-4.1378523955230007E-3</v>
      </c>
    </row>
    <row r="1942" spans="1:4" x14ac:dyDescent="0.3">
      <c r="A1942" s="26">
        <v>44970</v>
      </c>
      <c r="B1942" s="27">
        <v>178.45098876953119</v>
      </c>
      <c r="C1942" s="27">
        <f t="shared" si="63"/>
        <v>5.1843139907979898</v>
      </c>
      <c r="D1942" s="29">
        <f t="shared" si="64"/>
        <v>5.7946227270493367E-3</v>
      </c>
    </row>
    <row r="1943" spans="1:4" x14ac:dyDescent="0.3">
      <c r="A1943" s="26">
        <v>44971</v>
      </c>
      <c r="B1943" s="27">
        <v>178.50074768066409</v>
      </c>
      <c r="C1943" s="27">
        <f t="shared" si="63"/>
        <v>5.1845927898981152</v>
      </c>
      <c r="D1943" s="29">
        <f t="shared" si="64"/>
        <v>5.3777433353774384E-5</v>
      </c>
    </row>
    <row r="1944" spans="1:4" x14ac:dyDescent="0.3">
      <c r="A1944" s="26">
        <v>44972</v>
      </c>
      <c r="B1944" s="27">
        <v>176.1933898925781</v>
      </c>
      <c r="C1944" s="27">
        <f t="shared" si="63"/>
        <v>5.1715821980003005</v>
      </c>
      <c r="D1944" s="29">
        <f t="shared" si="64"/>
        <v>-2.5094722816351167E-3</v>
      </c>
    </row>
    <row r="1945" spans="1:4" x14ac:dyDescent="0.3">
      <c r="A1945" s="26">
        <v>44973</v>
      </c>
      <c r="B1945" s="27">
        <v>171.4991455078125</v>
      </c>
      <c r="C1945" s="27">
        <f t="shared" si="63"/>
        <v>5.144578284131847</v>
      </c>
      <c r="D1945" s="29">
        <f t="shared" si="64"/>
        <v>-5.2215961836389324E-3</v>
      </c>
    </row>
    <row r="1946" spans="1:4" x14ac:dyDescent="0.3">
      <c r="A1946" s="26">
        <v>44974</v>
      </c>
      <c r="B1946" s="27">
        <v>171.93675231933591</v>
      </c>
      <c r="C1946" s="27">
        <f t="shared" si="63"/>
        <v>5.1471266901145878</v>
      </c>
      <c r="D1946" s="29">
        <f t="shared" si="64"/>
        <v>4.9535760600649681E-4</v>
      </c>
    </row>
    <row r="1947" spans="1:4" x14ac:dyDescent="0.3">
      <c r="A1947" s="26">
        <v>44978</v>
      </c>
      <c r="B1947" s="27">
        <v>171.14109802246091</v>
      </c>
      <c r="C1947" s="27">
        <f t="shared" si="63"/>
        <v>5.1424883509004999</v>
      </c>
      <c r="D1947" s="29">
        <f t="shared" si="64"/>
        <v>-9.0115116517264227E-4</v>
      </c>
    </row>
    <row r="1948" spans="1:4" x14ac:dyDescent="0.3">
      <c r="A1948" s="26">
        <v>44979</v>
      </c>
      <c r="B1948" s="27">
        <v>170.18632507324219</v>
      </c>
      <c r="C1948" s="27">
        <f t="shared" si="63"/>
        <v>5.1368938666906745</v>
      </c>
      <c r="D1948" s="29">
        <f t="shared" si="64"/>
        <v>-1.0878943865465507E-3</v>
      </c>
    </row>
    <row r="1949" spans="1:4" x14ac:dyDescent="0.3">
      <c r="A1949" s="26">
        <v>44980</v>
      </c>
      <c r="B1949" s="27">
        <v>171.10133361816409</v>
      </c>
      <c r="C1949" s="27">
        <f t="shared" si="63"/>
        <v>5.1422559752462877</v>
      </c>
      <c r="D1949" s="29">
        <f t="shared" si="64"/>
        <v>1.0438425816781116E-3</v>
      </c>
    </row>
    <row r="1950" spans="1:4" x14ac:dyDescent="0.3">
      <c r="A1950" s="26">
        <v>44981</v>
      </c>
      <c r="B1950" s="27">
        <v>169.4603271484375</v>
      </c>
      <c r="C1950" s="27">
        <f t="shared" si="63"/>
        <v>5.1326188413033149</v>
      </c>
      <c r="D1950" s="29">
        <f t="shared" si="64"/>
        <v>-1.8741062267930708E-3</v>
      </c>
    </row>
    <row r="1951" spans="1:4" x14ac:dyDescent="0.3">
      <c r="A1951" s="26">
        <v>44984</v>
      </c>
      <c r="B1951" s="27">
        <v>168.61494445800781</v>
      </c>
      <c r="C1951" s="27">
        <f t="shared" si="63"/>
        <v>5.1276176801805633</v>
      </c>
      <c r="D1951" s="29">
        <f t="shared" si="64"/>
        <v>-9.7438778864822329E-4</v>
      </c>
    </row>
    <row r="1952" spans="1:4" x14ac:dyDescent="0.3">
      <c r="A1952" s="26">
        <v>44985</v>
      </c>
      <c r="B1952" s="27">
        <v>173.9855041503906</v>
      </c>
      <c r="C1952" s="27">
        <f t="shared" si="63"/>
        <v>5.1589719862635874</v>
      </c>
      <c r="D1952" s="29">
        <f t="shared" si="64"/>
        <v>6.1147901498614932E-3</v>
      </c>
    </row>
    <row r="1953" spans="1:4" x14ac:dyDescent="0.3">
      <c r="A1953" s="26">
        <v>44986</v>
      </c>
      <c r="B1953" s="27">
        <v>172.4737854003906</v>
      </c>
      <c r="C1953" s="27">
        <f t="shared" si="63"/>
        <v>5.1502452562296144</v>
      </c>
      <c r="D1953" s="29">
        <f t="shared" si="64"/>
        <v>-1.6915637567347375E-3</v>
      </c>
    </row>
    <row r="1954" spans="1:4" x14ac:dyDescent="0.3">
      <c r="A1954" s="26">
        <v>44987</v>
      </c>
      <c r="B1954" s="27">
        <v>173.5777587890625</v>
      </c>
      <c r="C1954" s="27">
        <f t="shared" si="63"/>
        <v>5.1566256764439675</v>
      </c>
      <c r="D1954" s="29">
        <f t="shared" si="64"/>
        <v>1.2388575488975206E-3</v>
      </c>
    </row>
    <row r="1955" spans="1:4" x14ac:dyDescent="0.3">
      <c r="A1955" s="26">
        <v>44988</v>
      </c>
      <c r="B1955" s="27">
        <v>184.2392578125</v>
      </c>
      <c r="C1955" s="27">
        <f t="shared" si="63"/>
        <v>5.2162352271309986</v>
      </c>
      <c r="D1955" s="29">
        <f t="shared" si="64"/>
        <v>1.1559797904147739E-2</v>
      </c>
    </row>
    <row r="1956" spans="1:4" x14ac:dyDescent="0.3">
      <c r="A1956" s="26">
        <v>44991</v>
      </c>
      <c r="B1956" s="27">
        <v>183.8911437988281</v>
      </c>
      <c r="C1956" s="27">
        <f t="shared" si="63"/>
        <v>5.2143439727498846</v>
      </c>
      <c r="D1956" s="29">
        <f t="shared" si="64"/>
        <v>-3.6257076200807425E-4</v>
      </c>
    </row>
    <row r="1957" spans="1:4" x14ac:dyDescent="0.3">
      <c r="A1957" s="26">
        <v>44992</v>
      </c>
      <c r="B1957" s="27">
        <v>183.50328063964841</v>
      </c>
      <c r="C1957" s="27">
        <f t="shared" si="63"/>
        <v>5.2122325454800356</v>
      </c>
      <c r="D1957" s="29">
        <f t="shared" si="64"/>
        <v>-4.0492673304315385E-4</v>
      </c>
    </row>
    <row r="1958" spans="1:4" x14ac:dyDescent="0.3">
      <c r="A1958" s="26">
        <v>44993</v>
      </c>
      <c r="B1958" s="27">
        <v>183.9607849121094</v>
      </c>
      <c r="C1958" s="27">
        <f t="shared" si="63"/>
        <v>5.2147226094168575</v>
      </c>
      <c r="D1958" s="29">
        <f t="shared" si="64"/>
        <v>4.7773462045186399E-4</v>
      </c>
    </row>
    <row r="1959" spans="1:4" x14ac:dyDescent="0.3">
      <c r="A1959" s="26">
        <v>44994</v>
      </c>
      <c r="B1959" s="27">
        <v>180.69866943359381</v>
      </c>
      <c r="C1959" s="27">
        <f t="shared" si="63"/>
        <v>5.1968308341709282</v>
      </c>
      <c r="D1959" s="29">
        <f t="shared" si="64"/>
        <v>-3.4310118842409976E-3</v>
      </c>
    </row>
    <row r="1960" spans="1:4" x14ac:dyDescent="0.3">
      <c r="A1960" s="26">
        <v>44995</v>
      </c>
      <c r="B1960" s="27">
        <v>178.53056335449219</v>
      </c>
      <c r="C1960" s="27">
        <f t="shared" si="63"/>
        <v>5.1847598098371277</v>
      </c>
      <c r="D1960" s="29">
        <f t="shared" si="64"/>
        <v>-2.3227664549766436E-3</v>
      </c>
    </row>
    <row r="1961" spans="1:4" x14ac:dyDescent="0.3">
      <c r="A1961" s="26">
        <v>44998</v>
      </c>
      <c r="B1961" s="27">
        <v>179.91297912597659</v>
      </c>
      <c r="C1961" s="27">
        <f t="shared" si="63"/>
        <v>5.1924732846907897</v>
      </c>
      <c r="D1961" s="29">
        <f t="shared" si="64"/>
        <v>1.4877207694419248E-3</v>
      </c>
    </row>
    <row r="1962" spans="1:4" x14ac:dyDescent="0.3">
      <c r="A1962" s="26">
        <v>44999</v>
      </c>
      <c r="B1962" s="27">
        <v>192.9613952636719</v>
      </c>
      <c r="C1962" s="27">
        <f t="shared" si="63"/>
        <v>5.2624901443567493</v>
      </c>
      <c r="D1962" s="29">
        <f t="shared" si="64"/>
        <v>1.3484298488813273E-2</v>
      </c>
    </row>
    <row r="1963" spans="1:4" x14ac:dyDescent="0.3">
      <c r="A1963" s="26">
        <v>45000</v>
      </c>
      <c r="B1963" s="27">
        <v>196.6710510253906</v>
      </c>
      <c r="C1963" s="27">
        <f t="shared" si="63"/>
        <v>5.2815325413326057</v>
      </c>
      <c r="D1963" s="29">
        <f t="shared" si="64"/>
        <v>3.6185145156568677E-3</v>
      </c>
    </row>
    <row r="1964" spans="1:4" x14ac:dyDescent="0.3">
      <c r="A1964" s="26">
        <v>45001</v>
      </c>
      <c r="B1964" s="27">
        <v>203.81184387207031</v>
      </c>
      <c r="C1964" s="27">
        <f t="shared" si="63"/>
        <v>5.3171972342720855</v>
      </c>
      <c r="D1964" s="29">
        <f t="shared" si="64"/>
        <v>6.7527166897813906E-3</v>
      </c>
    </row>
    <row r="1965" spans="1:4" x14ac:dyDescent="0.3">
      <c r="A1965" s="26">
        <v>45002</v>
      </c>
      <c r="B1965" s="27">
        <v>194.542724609375</v>
      </c>
      <c r="C1965" s="27">
        <f t="shared" si="63"/>
        <v>5.2706518027373548</v>
      </c>
      <c r="D1965" s="29">
        <f t="shared" si="64"/>
        <v>-8.753753055222635E-3</v>
      </c>
    </row>
    <row r="1966" spans="1:4" x14ac:dyDescent="0.3">
      <c r="A1966" s="26">
        <v>45005</v>
      </c>
      <c r="B1966" s="27">
        <v>196.73072814941409</v>
      </c>
      <c r="C1966" s="27">
        <f t="shared" si="63"/>
        <v>5.2818359315440402</v>
      </c>
      <c r="D1966" s="29">
        <f t="shared" si="64"/>
        <v>2.1219631319369103E-3</v>
      </c>
    </row>
    <row r="1967" spans="1:4" x14ac:dyDescent="0.3">
      <c r="A1967" s="26">
        <v>45006</v>
      </c>
      <c r="B1967" s="27">
        <v>201.0570068359375</v>
      </c>
      <c r="C1967" s="27">
        <f t="shared" si="63"/>
        <v>5.3035884839468244</v>
      </c>
      <c r="D1967" s="29">
        <f t="shared" si="64"/>
        <v>4.1183695754110072E-3</v>
      </c>
    </row>
    <row r="1968" spans="1:4" x14ac:dyDescent="0.3">
      <c r="A1968" s="26">
        <v>45007</v>
      </c>
      <c r="B1968" s="27">
        <v>198.71978759765619</v>
      </c>
      <c r="C1968" s="27">
        <f t="shared" si="63"/>
        <v>5.2918957298921683</v>
      </c>
      <c r="D1968" s="29">
        <f t="shared" si="64"/>
        <v>-2.2046872773120452E-3</v>
      </c>
    </row>
    <row r="1969" spans="1:4" x14ac:dyDescent="0.3">
      <c r="A1969" s="26">
        <v>45008</v>
      </c>
      <c r="B1969" s="27">
        <v>203.16542053222659</v>
      </c>
      <c r="C1969" s="27">
        <f t="shared" si="63"/>
        <v>5.3140205266768668</v>
      </c>
      <c r="D1969" s="29">
        <f t="shared" si="64"/>
        <v>4.1808829791794011E-3</v>
      </c>
    </row>
    <row r="1970" spans="1:4" x14ac:dyDescent="0.3">
      <c r="A1970" s="26">
        <v>45009</v>
      </c>
      <c r="B1970" s="27">
        <v>204.88597106933591</v>
      </c>
      <c r="C1970" s="27">
        <f t="shared" si="63"/>
        <v>5.3224535856941131</v>
      </c>
      <c r="D1970" s="29">
        <f t="shared" si="64"/>
        <v>1.586945134086637E-3</v>
      </c>
    </row>
    <row r="1971" spans="1:4" x14ac:dyDescent="0.3">
      <c r="A1971" s="26">
        <v>45012</v>
      </c>
      <c r="B1971" s="27">
        <v>201.7333068847656</v>
      </c>
      <c r="C1971" s="27">
        <f t="shared" si="63"/>
        <v>5.3069465621395011</v>
      </c>
      <c r="D1971" s="29">
        <f t="shared" si="64"/>
        <v>-2.9135103397223139E-3</v>
      </c>
    </row>
    <row r="1972" spans="1:4" x14ac:dyDescent="0.3">
      <c r="A1972" s="26">
        <v>45013</v>
      </c>
      <c r="B1972" s="27">
        <v>199.5850524902344</v>
      </c>
      <c r="C1972" s="27">
        <f t="shared" si="63"/>
        <v>5.2962404737496929</v>
      </c>
      <c r="D1972" s="29">
        <f t="shared" si="64"/>
        <v>-2.017372563384523E-3</v>
      </c>
    </row>
    <row r="1973" spans="1:4" x14ac:dyDescent="0.3">
      <c r="A1973" s="26">
        <v>45014</v>
      </c>
      <c r="B1973" s="27">
        <v>204.2295837402344</v>
      </c>
      <c r="C1973" s="27">
        <f t="shared" si="63"/>
        <v>5.319244771535903</v>
      </c>
      <c r="D1973" s="29">
        <f t="shared" si="64"/>
        <v>4.3435145930832419E-3</v>
      </c>
    </row>
    <row r="1974" spans="1:4" x14ac:dyDescent="0.3">
      <c r="A1974" s="26">
        <v>45015</v>
      </c>
      <c r="B1974" s="27">
        <v>206.70600891113281</v>
      </c>
      <c r="C1974" s="27">
        <f t="shared" si="63"/>
        <v>5.3312975369528068</v>
      </c>
      <c r="D1974" s="29">
        <f t="shared" si="64"/>
        <v>2.2658790739242818E-3</v>
      </c>
    </row>
    <row r="1975" spans="1:4" x14ac:dyDescent="0.3">
      <c r="A1975" s="26">
        <v>45016</v>
      </c>
      <c r="B1975" s="27">
        <v>210.78364562988281</v>
      </c>
      <c r="C1975" s="27">
        <f t="shared" si="63"/>
        <v>5.3508322312566019</v>
      </c>
      <c r="D1975" s="29">
        <f t="shared" si="64"/>
        <v>3.6641538327948364E-3</v>
      </c>
    </row>
    <row r="1976" spans="1:4" x14ac:dyDescent="0.3">
      <c r="A1976" s="26">
        <v>45019</v>
      </c>
      <c r="B1976" s="27">
        <v>211.90745544433591</v>
      </c>
      <c r="C1976" s="27">
        <f t="shared" si="63"/>
        <v>5.3561496484417077</v>
      </c>
      <c r="D1976" s="29">
        <f t="shared" si="64"/>
        <v>9.9375516841004874E-4</v>
      </c>
    </row>
    <row r="1977" spans="1:4" x14ac:dyDescent="0.3">
      <c r="A1977" s="26">
        <v>45020</v>
      </c>
      <c r="B1977" s="27">
        <v>213.54844665527341</v>
      </c>
      <c r="C1977" s="27">
        <f t="shared" si="63"/>
        <v>5.3638637233451849</v>
      </c>
      <c r="D1977" s="29">
        <f t="shared" si="64"/>
        <v>1.4402276653568968E-3</v>
      </c>
    </row>
    <row r="1978" spans="1:4" x14ac:dyDescent="0.3">
      <c r="A1978" s="26">
        <v>45021</v>
      </c>
      <c r="B1978" s="27">
        <v>210.32612609863281</v>
      </c>
      <c r="C1978" s="27">
        <f t="shared" si="63"/>
        <v>5.3486593075108972</v>
      </c>
      <c r="D1978" s="29">
        <f t="shared" si="64"/>
        <v>-2.8346014400241204E-3</v>
      </c>
    </row>
    <row r="1979" spans="1:4" x14ac:dyDescent="0.3">
      <c r="A1979" s="26">
        <v>45022</v>
      </c>
      <c r="B1979" s="27">
        <v>214.92091369628909</v>
      </c>
      <c r="C1979" s="27">
        <f t="shared" si="63"/>
        <v>5.3702701171836571</v>
      </c>
      <c r="D1979" s="29">
        <f t="shared" si="64"/>
        <v>4.0404161922245052E-3</v>
      </c>
    </row>
    <row r="1980" spans="1:4" x14ac:dyDescent="0.3">
      <c r="A1980" s="26">
        <v>45026</v>
      </c>
      <c r="B1980" s="27">
        <v>213.57830810546881</v>
      </c>
      <c r="C1980" s="27">
        <f t="shared" si="63"/>
        <v>5.364003548115754</v>
      </c>
      <c r="D1980" s="29">
        <f t="shared" si="64"/>
        <v>-1.1669001616606556E-3</v>
      </c>
    </row>
    <row r="1981" spans="1:4" x14ac:dyDescent="0.3">
      <c r="A1981" s="26">
        <v>45027</v>
      </c>
      <c r="B1981" s="27">
        <v>212.68321228027341</v>
      </c>
      <c r="C1981" s="27">
        <f t="shared" si="63"/>
        <v>5.359803792341304</v>
      </c>
      <c r="D1981" s="29">
        <f t="shared" si="64"/>
        <v>-7.8295171447551049E-4</v>
      </c>
    </row>
    <row r="1982" spans="1:4" x14ac:dyDescent="0.3">
      <c r="A1982" s="26">
        <v>45028</v>
      </c>
      <c r="B1982" s="27">
        <v>212.8323669433594</v>
      </c>
      <c r="C1982" s="27">
        <f t="shared" si="63"/>
        <v>5.3605048461991531</v>
      </c>
      <c r="D1982" s="29">
        <f t="shared" si="64"/>
        <v>1.3079841819041427E-4</v>
      </c>
    </row>
    <row r="1983" spans="1:4" x14ac:dyDescent="0.3">
      <c r="A1983" s="26">
        <v>45029</v>
      </c>
      <c r="B1983" s="27">
        <v>219.14775085449219</v>
      </c>
      <c r="C1983" s="27">
        <f t="shared" si="63"/>
        <v>5.3897461637708215</v>
      </c>
      <c r="D1983" s="29">
        <f t="shared" si="64"/>
        <v>5.4549559063270525E-3</v>
      </c>
    </row>
    <row r="1984" spans="1:4" x14ac:dyDescent="0.3">
      <c r="A1984" s="26">
        <v>45030</v>
      </c>
      <c r="B1984" s="27">
        <v>220.28153991699219</v>
      </c>
      <c r="C1984" s="27">
        <f t="shared" si="63"/>
        <v>5.394906455095251</v>
      </c>
      <c r="D1984" s="29">
        <f t="shared" si="64"/>
        <v>9.5742752397431907E-4</v>
      </c>
    </row>
    <row r="1985" spans="1:4" x14ac:dyDescent="0.3">
      <c r="A1985" s="26">
        <v>45033</v>
      </c>
      <c r="B1985" s="27">
        <v>217.6658630371094</v>
      </c>
      <c r="C1985" s="27">
        <f t="shared" si="63"/>
        <v>5.3829611485821003</v>
      </c>
      <c r="D1985" s="29">
        <f t="shared" si="64"/>
        <v>-2.214182324119629E-3</v>
      </c>
    </row>
    <row r="1986" spans="1:4" x14ac:dyDescent="0.3">
      <c r="A1986" s="26">
        <v>45034</v>
      </c>
      <c r="B1986" s="27">
        <v>216.701171875</v>
      </c>
      <c r="C1986" s="27">
        <f t="shared" si="63"/>
        <v>5.378519316349565</v>
      </c>
      <c r="D1986" s="29">
        <f t="shared" si="64"/>
        <v>-8.2516520367326152E-4</v>
      </c>
    </row>
    <row r="1987" spans="1:4" x14ac:dyDescent="0.3">
      <c r="A1987" s="26">
        <v>45035</v>
      </c>
      <c r="B1987" s="27">
        <v>214.5231018066406</v>
      </c>
      <c r="C1987" s="27">
        <f t="shared" ref="C1987:C2050" si="65">LN(B1987)</f>
        <v>5.3684174332990233</v>
      </c>
      <c r="D1987" s="29">
        <f t="shared" si="64"/>
        <v>-1.878190345033115E-3</v>
      </c>
    </row>
    <row r="1988" spans="1:4" x14ac:dyDescent="0.3">
      <c r="A1988" s="26">
        <v>45036</v>
      </c>
      <c r="B1988" s="27">
        <v>211.90745544433591</v>
      </c>
      <c r="C1988" s="27">
        <f t="shared" si="65"/>
        <v>5.3561496484417077</v>
      </c>
      <c r="D1988" s="29">
        <f t="shared" ref="D1988:D2051" si="66">C1988/C1987-1</f>
        <v>-2.2851771513185959E-3</v>
      </c>
    </row>
    <row r="1989" spans="1:4" x14ac:dyDescent="0.3">
      <c r="A1989" s="26">
        <v>45037</v>
      </c>
      <c r="B1989" s="27">
        <v>211.72843933105469</v>
      </c>
      <c r="C1989" s="27">
        <f t="shared" si="65"/>
        <v>5.3553045070070731</v>
      </c>
      <c r="D1989" s="29">
        <f t="shared" si="66"/>
        <v>-1.5778898837914834E-4</v>
      </c>
    </row>
    <row r="1990" spans="1:4" x14ac:dyDescent="0.3">
      <c r="A1990" s="26">
        <v>45040</v>
      </c>
      <c r="B1990" s="27">
        <v>211.6289978027344</v>
      </c>
      <c r="C1990" s="27">
        <f t="shared" si="65"/>
        <v>5.354834731250576</v>
      </c>
      <c r="D1990" s="29">
        <f t="shared" si="66"/>
        <v>-8.7721576967791925E-5</v>
      </c>
    </row>
    <row r="1991" spans="1:4" x14ac:dyDescent="0.3">
      <c r="A1991" s="26">
        <v>45041</v>
      </c>
      <c r="B1991" s="27">
        <v>206.41758728027341</v>
      </c>
      <c r="C1991" s="27">
        <f t="shared" si="65"/>
        <v>5.3299012396685157</v>
      </c>
      <c r="D1991" s="29">
        <f t="shared" si="66"/>
        <v>-4.6562579114812763E-3</v>
      </c>
    </row>
    <row r="1992" spans="1:4" x14ac:dyDescent="0.3">
      <c r="A1992" s="26">
        <v>45042</v>
      </c>
      <c r="B1992" s="27">
        <v>208.25749206542969</v>
      </c>
      <c r="C1992" s="27">
        <f t="shared" si="65"/>
        <v>5.3387752567044044</v>
      </c>
      <c r="D1992" s="29">
        <f t="shared" si="66"/>
        <v>1.6649496185487944E-3</v>
      </c>
    </row>
    <row r="1993" spans="1:4" x14ac:dyDescent="0.3">
      <c r="A1993" s="26">
        <v>45043</v>
      </c>
      <c r="B1993" s="27">
        <v>237.2583923339844</v>
      </c>
      <c r="C1993" s="27">
        <f t="shared" si="65"/>
        <v>5.4691498102426417</v>
      </c>
      <c r="D1993" s="29">
        <f t="shared" si="66"/>
        <v>2.4420311264182537E-2</v>
      </c>
    </row>
    <row r="1994" spans="1:4" x14ac:dyDescent="0.3">
      <c r="A1994" s="26">
        <v>45044</v>
      </c>
      <c r="B1994" s="27">
        <v>239.00877380371091</v>
      </c>
      <c r="C1994" s="27">
        <f t="shared" si="65"/>
        <v>5.4765002617334755</v>
      </c>
      <c r="D1994" s="29">
        <f t="shared" si="66"/>
        <v>1.3439843021063602E-3</v>
      </c>
    </row>
    <row r="1995" spans="1:4" x14ac:dyDescent="0.3">
      <c r="A1995" s="26">
        <v>45047</v>
      </c>
      <c r="B1995" s="27">
        <v>241.85316467285159</v>
      </c>
      <c r="C1995" s="27">
        <f t="shared" si="65"/>
        <v>5.4883307844546296</v>
      </c>
      <c r="D1995" s="29">
        <f t="shared" si="66"/>
        <v>2.1602341195561259E-3</v>
      </c>
    </row>
    <row r="1996" spans="1:4" x14ac:dyDescent="0.3">
      <c r="A1996" s="26">
        <v>45048</v>
      </c>
      <c r="B1996" s="27">
        <v>237.93467712402341</v>
      </c>
      <c r="C1996" s="27">
        <f t="shared" si="65"/>
        <v>5.4719961701333775</v>
      </c>
      <c r="D1996" s="29">
        <f t="shared" si="66"/>
        <v>-2.9762445017925687E-3</v>
      </c>
    </row>
    <row r="1997" spans="1:4" x14ac:dyDescent="0.3">
      <c r="A1997" s="26">
        <v>45049</v>
      </c>
      <c r="B1997" s="27">
        <v>235.73674011230469</v>
      </c>
      <c r="C1997" s="27">
        <f t="shared" si="65"/>
        <v>5.4627156743847687</v>
      </c>
      <c r="D1997" s="29">
        <f t="shared" si="66"/>
        <v>-1.6959982171154131E-3</v>
      </c>
    </row>
    <row r="1998" spans="1:4" x14ac:dyDescent="0.3">
      <c r="A1998" s="26">
        <v>45050</v>
      </c>
      <c r="B1998" s="27">
        <v>232.24589538574219</v>
      </c>
      <c r="C1998" s="27">
        <f t="shared" si="65"/>
        <v>5.4477967042793978</v>
      </c>
      <c r="D1998" s="29">
        <f t="shared" si="66"/>
        <v>-2.7310537459102058E-3</v>
      </c>
    </row>
    <row r="1999" spans="1:4" x14ac:dyDescent="0.3">
      <c r="A1999" s="26">
        <v>45051</v>
      </c>
      <c r="B1999" s="27">
        <v>231.5099182128906</v>
      </c>
      <c r="C1999" s="27">
        <f t="shared" si="65"/>
        <v>5.4446227158607696</v>
      </c>
      <c r="D1999" s="29">
        <f t="shared" si="66"/>
        <v>-5.8261873394338526E-4</v>
      </c>
    </row>
    <row r="2000" spans="1:4" x14ac:dyDescent="0.3">
      <c r="A2000" s="26">
        <v>45054</v>
      </c>
      <c r="B2000" s="27">
        <v>231.99725341796881</v>
      </c>
      <c r="C2000" s="27">
        <f t="shared" si="65"/>
        <v>5.4467255328805804</v>
      </c>
      <c r="D2000" s="29">
        <f t="shared" si="66"/>
        <v>3.8621905126401401E-4</v>
      </c>
    </row>
    <row r="2001" spans="1:4" x14ac:dyDescent="0.3">
      <c r="A2001" s="26">
        <v>45055</v>
      </c>
      <c r="B2001" s="27">
        <v>232.09669494628909</v>
      </c>
      <c r="C2001" s="27">
        <f t="shared" si="65"/>
        <v>5.4471540733956747</v>
      </c>
      <c r="D2001" s="29">
        <f t="shared" si="66"/>
        <v>7.8678558797840026E-5</v>
      </c>
    </row>
    <row r="2002" spans="1:4" x14ac:dyDescent="0.3">
      <c r="A2002" s="26">
        <v>45056</v>
      </c>
      <c r="B2002" s="27">
        <v>231.80828857421881</v>
      </c>
      <c r="C2002" s="27">
        <f t="shared" si="65"/>
        <v>5.4459106877047594</v>
      </c>
      <c r="D2002" s="29">
        <f t="shared" si="66"/>
        <v>-2.2826335994208247E-4</v>
      </c>
    </row>
    <row r="2003" spans="1:4" x14ac:dyDescent="0.3">
      <c r="A2003" s="26">
        <v>45057</v>
      </c>
      <c r="B2003" s="27">
        <v>234.50349426269531</v>
      </c>
      <c r="C2003" s="27">
        <f t="shared" si="65"/>
        <v>5.4574704886823326</v>
      </c>
      <c r="D2003" s="29">
        <f t="shared" si="66"/>
        <v>2.1226570982282311E-3</v>
      </c>
    </row>
    <row r="2004" spans="1:4" x14ac:dyDescent="0.3">
      <c r="A2004" s="26">
        <v>45058</v>
      </c>
      <c r="B2004" s="27">
        <v>232.5343017578125</v>
      </c>
      <c r="C2004" s="27">
        <f t="shared" si="65"/>
        <v>5.4490377485874797</v>
      </c>
      <c r="D2004" s="29">
        <f t="shared" si="66"/>
        <v>-1.5451737416337652E-3</v>
      </c>
    </row>
    <row r="2005" spans="1:4" x14ac:dyDescent="0.3">
      <c r="A2005" s="26">
        <v>45061</v>
      </c>
      <c r="B2005" s="27">
        <v>237.55674743652341</v>
      </c>
      <c r="C2005" s="27">
        <f t="shared" si="65"/>
        <v>5.4704065315087345</v>
      </c>
      <c r="D2005" s="29">
        <f t="shared" si="66"/>
        <v>3.921569992205276E-3</v>
      </c>
    </row>
    <row r="2006" spans="1:4" x14ac:dyDescent="0.3">
      <c r="A2006" s="26">
        <v>45062</v>
      </c>
      <c r="B2006" s="27">
        <v>237.5169677734375</v>
      </c>
      <c r="C2006" s="27">
        <f t="shared" si="65"/>
        <v>5.470239064179327</v>
      </c>
      <c r="D2006" s="29">
        <f t="shared" si="66"/>
        <v>-3.0613324337513959E-5</v>
      </c>
    </row>
    <row r="2007" spans="1:4" x14ac:dyDescent="0.3">
      <c r="A2007" s="26">
        <v>45063</v>
      </c>
      <c r="B2007" s="27">
        <v>241.1669616699219</v>
      </c>
      <c r="C2007" s="27">
        <f t="shared" si="65"/>
        <v>5.4854894806366348</v>
      </c>
      <c r="D2007" s="29">
        <f t="shared" si="66"/>
        <v>2.787888477703282E-3</v>
      </c>
    </row>
    <row r="2008" spans="1:4" x14ac:dyDescent="0.3">
      <c r="A2008" s="26">
        <v>45064</v>
      </c>
      <c r="B2008" s="27">
        <v>245.5031433105469</v>
      </c>
      <c r="C2008" s="27">
        <f t="shared" si="65"/>
        <v>5.5033097508615576</v>
      </c>
      <c r="D2008" s="29">
        <f t="shared" si="66"/>
        <v>3.2486198884944528E-3</v>
      </c>
    </row>
    <row r="2009" spans="1:4" x14ac:dyDescent="0.3">
      <c r="A2009" s="26">
        <v>45065</v>
      </c>
      <c r="B2009" s="27">
        <v>244.2997741699219</v>
      </c>
      <c r="C2009" s="27">
        <f t="shared" si="65"/>
        <v>5.4983960538667134</v>
      </c>
      <c r="D2009" s="29">
        <f t="shared" si="66"/>
        <v>-8.9286215337502917E-4</v>
      </c>
    </row>
    <row r="2010" spans="1:4" x14ac:dyDescent="0.3">
      <c r="A2010" s="26">
        <v>45068</v>
      </c>
      <c r="B2010" s="27">
        <v>246.96513366699219</v>
      </c>
      <c r="C2010" s="27">
        <f t="shared" si="65"/>
        <v>5.509247167421127</v>
      </c>
      <c r="D2010" s="29">
        <f t="shared" si="66"/>
        <v>1.9735052637364081E-3</v>
      </c>
    </row>
    <row r="2011" spans="1:4" x14ac:dyDescent="0.3">
      <c r="A2011" s="26">
        <v>45069</v>
      </c>
      <c r="B2011" s="27">
        <v>245.3937683105469</v>
      </c>
      <c r="C2011" s="27">
        <f t="shared" si="65"/>
        <v>5.5028641379468262</v>
      </c>
      <c r="D2011" s="29">
        <f t="shared" si="66"/>
        <v>-1.1586028508662194E-3</v>
      </c>
    </row>
    <row r="2012" spans="1:4" x14ac:dyDescent="0.3">
      <c r="A2012" s="26">
        <v>45070</v>
      </c>
      <c r="B2012" s="27">
        <v>247.85028076171881</v>
      </c>
      <c r="C2012" s="27">
        <f t="shared" si="65"/>
        <v>5.5128248572548006</v>
      </c>
      <c r="D2012" s="29">
        <f t="shared" si="66"/>
        <v>1.810097261767174E-3</v>
      </c>
    </row>
    <row r="2013" spans="1:4" x14ac:dyDescent="0.3">
      <c r="A2013" s="26">
        <v>45071</v>
      </c>
      <c r="B2013" s="27">
        <v>251.3113098144531</v>
      </c>
      <c r="C2013" s="27">
        <f t="shared" si="65"/>
        <v>5.5266924487674549</v>
      </c>
      <c r="D2013" s="29">
        <f t="shared" si="66"/>
        <v>2.5155146175930287E-3</v>
      </c>
    </row>
    <row r="2014" spans="1:4" x14ac:dyDescent="0.3">
      <c r="A2014" s="26">
        <v>45072</v>
      </c>
      <c r="B2014" s="27">
        <v>260.61026000976563</v>
      </c>
      <c r="C2014" s="27">
        <f t="shared" si="65"/>
        <v>5.563026034636251</v>
      </c>
      <c r="D2014" s="29">
        <f t="shared" si="66"/>
        <v>6.5742007910896127E-3</v>
      </c>
    </row>
    <row r="2015" spans="1:4" x14ac:dyDescent="0.3">
      <c r="A2015" s="26">
        <v>45076</v>
      </c>
      <c r="B2015" s="27">
        <v>261.087646484375</v>
      </c>
      <c r="C2015" s="27">
        <f t="shared" si="65"/>
        <v>5.5648561612360012</v>
      </c>
      <c r="D2015" s="29">
        <f t="shared" si="66"/>
        <v>3.2898041252282795E-4</v>
      </c>
    </row>
    <row r="2016" spans="1:4" x14ac:dyDescent="0.3">
      <c r="A2016" s="26">
        <v>45077</v>
      </c>
      <c r="B2016" s="27">
        <v>263.27566528320313</v>
      </c>
      <c r="C2016" s="27">
        <f t="shared" si="65"/>
        <v>5.5732016402151467</v>
      </c>
      <c r="D2016" s="29">
        <f t="shared" si="66"/>
        <v>1.4996755958005537E-3</v>
      </c>
    </row>
    <row r="2017" spans="1:4" x14ac:dyDescent="0.3">
      <c r="A2017" s="26">
        <v>45078</v>
      </c>
      <c r="B2017" s="27">
        <v>271.12255859375</v>
      </c>
      <c r="C2017" s="27">
        <f t="shared" si="65"/>
        <v>5.6025709643808153</v>
      </c>
      <c r="D2017" s="29">
        <f t="shared" si="66"/>
        <v>5.2697400994332622E-3</v>
      </c>
    </row>
    <row r="2018" spans="1:4" x14ac:dyDescent="0.3">
      <c r="A2018" s="26">
        <v>45079</v>
      </c>
      <c r="B2018" s="27">
        <v>271.12255859375</v>
      </c>
      <c r="C2018" s="27">
        <f t="shared" si="65"/>
        <v>5.6025709643808153</v>
      </c>
      <c r="D2018" s="29">
        <f t="shared" si="66"/>
        <v>0</v>
      </c>
    </row>
    <row r="2019" spans="1:4" x14ac:dyDescent="0.3">
      <c r="A2019" s="26">
        <v>45082</v>
      </c>
      <c r="B2019" s="27">
        <v>269.90927124023438</v>
      </c>
      <c r="C2019" s="27">
        <f t="shared" si="65"/>
        <v>5.5980858700832457</v>
      </c>
      <c r="D2019" s="29">
        <f t="shared" si="66"/>
        <v>-8.0054216645975007E-4</v>
      </c>
    </row>
    <row r="2020" spans="1:4" x14ac:dyDescent="0.3">
      <c r="A2020" s="26">
        <v>45083</v>
      </c>
      <c r="B2020" s="27">
        <v>269.6407470703125</v>
      </c>
      <c r="C2020" s="27">
        <f t="shared" si="65"/>
        <v>5.5970905066026448</v>
      </c>
      <c r="D2020" s="29">
        <f t="shared" si="66"/>
        <v>-1.7780425375757414E-4</v>
      </c>
    </row>
    <row r="2021" spans="1:4" x14ac:dyDescent="0.3">
      <c r="A2021" s="26">
        <v>45084</v>
      </c>
      <c r="B2021" s="27">
        <v>262.16177368164063</v>
      </c>
      <c r="C2021" s="27">
        <f t="shared" si="65"/>
        <v>5.5689617700132343</v>
      </c>
      <c r="D2021" s="29">
        <f t="shared" si="66"/>
        <v>-5.0255997390480367E-3</v>
      </c>
    </row>
    <row r="2022" spans="1:4" x14ac:dyDescent="0.3">
      <c r="A2022" s="26">
        <v>45085</v>
      </c>
      <c r="B2022" s="27">
        <v>263.13638305664063</v>
      </c>
      <c r="C2022" s="27">
        <f t="shared" si="65"/>
        <v>5.5726724645237766</v>
      </c>
      <c r="D2022" s="29">
        <f t="shared" si="66"/>
        <v>6.6631710968523272E-4</v>
      </c>
    </row>
    <row r="2023" spans="1:4" x14ac:dyDescent="0.3">
      <c r="A2023" s="26">
        <v>45086</v>
      </c>
      <c r="B2023" s="27">
        <v>263.50442504882813</v>
      </c>
      <c r="C2023" s="27">
        <f t="shared" si="65"/>
        <v>5.5740701611945971</v>
      </c>
      <c r="D2023" s="29">
        <f t="shared" si="66"/>
        <v>2.5081263607695803E-4</v>
      </c>
    </row>
    <row r="2024" spans="1:4" x14ac:dyDescent="0.3">
      <c r="A2024" s="26">
        <v>45089</v>
      </c>
      <c r="B2024" s="27">
        <v>269.57107543945313</v>
      </c>
      <c r="C2024" s="27">
        <f t="shared" si="65"/>
        <v>5.596832086336847</v>
      </c>
      <c r="D2024" s="29">
        <f t="shared" si="66"/>
        <v>4.0835376096830522E-3</v>
      </c>
    </row>
    <row r="2025" spans="1:4" x14ac:dyDescent="0.3">
      <c r="A2025" s="26">
        <v>45090</v>
      </c>
      <c r="B2025" s="27">
        <v>269.83963012695313</v>
      </c>
      <c r="C2025" s="27">
        <f t="shared" si="65"/>
        <v>5.597827820040008</v>
      </c>
      <c r="D2025" s="29">
        <f t="shared" si="66"/>
        <v>1.7791023346802604E-4</v>
      </c>
    </row>
    <row r="2026" spans="1:4" x14ac:dyDescent="0.3">
      <c r="A2026" s="26">
        <v>45091</v>
      </c>
      <c r="B2026" s="27">
        <v>271.85855102539063</v>
      </c>
      <c r="C2026" s="27">
        <f t="shared" si="65"/>
        <v>5.6052818980370551</v>
      </c>
      <c r="D2026" s="29">
        <f t="shared" si="66"/>
        <v>1.3316018707045796E-3</v>
      </c>
    </row>
    <row r="2027" spans="1:4" x14ac:dyDescent="0.3">
      <c r="A2027" s="26">
        <v>45092</v>
      </c>
      <c r="B2027" s="27">
        <v>280.29226684570313</v>
      </c>
      <c r="C2027" s="27">
        <f t="shared" si="65"/>
        <v>5.6358328689414412</v>
      </c>
      <c r="D2027" s="29">
        <f t="shared" si="66"/>
        <v>5.4503897324209571E-3</v>
      </c>
    </row>
    <row r="2028" spans="1:4" x14ac:dyDescent="0.3">
      <c r="A2028" s="26">
        <v>45093</v>
      </c>
      <c r="B2028" s="27">
        <v>279.46685791015619</v>
      </c>
      <c r="C2028" s="27">
        <f t="shared" si="65"/>
        <v>5.6328837092143553</v>
      </c>
      <c r="D2028" s="29">
        <f t="shared" si="66"/>
        <v>-5.2328729323014578E-4</v>
      </c>
    </row>
    <row r="2029" spans="1:4" x14ac:dyDescent="0.3">
      <c r="A2029" s="26">
        <v>45097</v>
      </c>
      <c r="B2029" s="27">
        <v>282.77865600585938</v>
      </c>
      <c r="C2029" s="27">
        <f t="shared" si="65"/>
        <v>5.6446644573617482</v>
      </c>
      <c r="D2029" s="29">
        <f t="shared" si="66"/>
        <v>2.0914239944491708E-3</v>
      </c>
    </row>
    <row r="2030" spans="1:4" x14ac:dyDescent="0.3">
      <c r="A2030" s="26">
        <v>45098</v>
      </c>
      <c r="B2030" s="27">
        <v>280.10336303710938</v>
      </c>
      <c r="C2030" s="27">
        <f t="shared" si="65"/>
        <v>5.6351586887527469</v>
      </c>
      <c r="D2030" s="29">
        <f t="shared" si="66"/>
        <v>-1.6840272226640307E-3</v>
      </c>
    </row>
    <row r="2031" spans="1:4" x14ac:dyDescent="0.3">
      <c r="A2031" s="26">
        <v>45099</v>
      </c>
      <c r="B2031" s="27">
        <v>283.32568359375</v>
      </c>
      <c r="C2031" s="27">
        <f t="shared" si="65"/>
        <v>5.6465970613708887</v>
      </c>
      <c r="D2031" s="29">
        <f t="shared" si="66"/>
        <v>2.0298226278829823E-3</v>
      </c>
    </row>
    <row r="2032" spans="1:4" x14ac:dyDescent="0.3">
      <c r="A2032" s="26">
        <v>45100</v>
      </c>
      <c r="B2032" s="27">
        <v>287.1546630859375</v>
      </c>
      <c r="C2032" s="27">
        <f t="shared" si="65"/>
        <v>5.6600209663772585</v>
      </c>
      <c r="D2032" s="29">
        <f t="shared" si="66"/>
        <v>2.3773442412253765E-3</v>
      </c>
    </row>
    <row r="2033" spans="1:4" x14ac:dyDescent="0.3">
      <c r="A2033" s="26">
        <v>45103</v>
      </c>
      <c r="B2033" s="27">
        <v>276.95065307617188</v>
      </c>
      <c r="C2033" s="27">
        <f t="shared" si="65"/>
        <v>5.6238393425776936</v>
      </c>
      <c r="D2033" s="29">
        <f t="shared" si="66"/>
        <v>-6.3924893590496801E-3</v>
      </c>
    </row>
    <row r="2034" spans="1:4" x14ac:dyDescent="0.3">
      <c r="A2034" s="26">
        <v>45104</v>
      </c>
      <c r="B2034" s="27">
        <v>285.48382568359381</v>
      </c>
      <c r="C2034" s="27">
        <f t="shared" si="65"/>
        <v>5.6541853748943769</v>
      </c>
      <c r="D2034" s="29">
        <f t="shared" si="66"/>
        <v>5.3959635878884082E-3</v>
      </c>
    </row>
    <row r="2035" spans="1:4" x14ac:dyDescent="0.3">
      <c r="A2035" s="26">
        <v>45105</v>
      </c>
      <c r="B2035" s="27">
        <v>283.73345947265619</v>
      </c>
      <c r="C2035" s="27">
        <f t="shared" si="65"/>
        <v>5.6480352744891533</v>
      </c>
      <c r="D2035" s="29">
        <f t="shared" si="66"/>
        <v>-1.087707600202048E-3</v>
      </c>
    </row>
    <row r="2036" spans="1:4" x14ac:dyDescent="0.3">
      <c r="A2036" s="26">
        <v>45106</v>
      </c>
      <c r="B2036" s="27">
        <v>279.99392700195313</v>
      </c>
      <c r="C2036" s="27">
        <f t="shared" si="65"/>
        <v>5.6347679136552946</v>
      </c>
      <c r="D2036" s="29">
        <f t="shared" si="66"/>
        <v>-2.3490223040539826E-3</v>
      </c>
    </row>
    <row r="2037" spans="1:4" x14ac:dyDescent="0.3">
      <c r="A2037" s="26">
        <v>45107</v>
      </c>
      <c r="B2037" s="27">
        <v>285.41421508789063</v>
      </c>
      <c r="C2037" s="27">
        <f t="shared" si="65"/>
        <v>5.6539415113983518</v>
      </c>
      <c r="D2037" s="29">
        <f t="shared" si="66"/>
        <v>3.4027306957207237E-3</v>
      </c>
    </row>
    <row r="2038" spans="1:4" x14ac:dyDescent="0.3">
      <c r="A2038" s="26">
        <v>45110</v>
      </c>
      <c r="B2038" s="27">
        <v>284.45941162109381</v>
      </c>
      <c r="C2038" s="27">
        <f t="shared" si="65"/>
        <v>5.6505905777334666</v>
      </c>
      <c r="D2038" s="29">
        <f t="shared" si="66"/>
        <v>-5.9267214882385844E-4</v>
      </c>
    </row>
    <row r="2039" spans="1:4" x14ac:dyDescent="0.3">
      <c r="A2039" s="26">
        <v>45112</v>
      </c>
      <c r="B2039" s="27">
        <v>292.76385498046881</v>
      </c>
      <c r="C2039" s="27">
        <f t="shared" si="65"/>
        <v>5.6793663283621028</v>
      </c>
      <c r="D2039" s="29">
        <f t="shared" si="66"/>
        <v>5.0925209025103335E-3</v>
      </c>
    </row>
    <row r="2040" spans="1:4" x14ac:dyDescent="0.3">
      <c r="A2040" s="26">
        <v>45113</v>
      </c>
      <c r="B2040" s="27">
        <v>290.3968505859375</v>
      </c>
      <c r="C2040" s="27">
        <f t="shared" si="65"/>
        <v>5.6712484378020855</v>
      </c>
      <c r="D2040" s="29">
        <f t="shared" si="66"/>
        <v>-1.4293655472579214E-3</v>
      </c>
    </row>
    <row r="2041" spans="1:4" x14ac:dyDescent="0.3">
      <c r="A2041" s="26">
        <v>45114</v>
      </c>
      <c r="B2041" s="27">
        <v>288.94482421875</v>
      </c>
      <c r="C2041" s="27">
        <f t="shared" si="65"/>
        <v>5.66623575022665</v>
      </c>
      <c r="D2041" s="29">
        <f t="shared" si="66"/>
        <v>-8.8387726801442135E-4</v>
      </c>
    </row>
    <row r="2042" spans="1:4" x14ac:dyDescent="0.3">
      <c r="A2042" s="26">
        <v>45117</v>
      </c>
      <c r="B2042" s="27">
        <v>292.49539184570313</v>
      </c>
      <c r="C2042" s="27">
        <f t="shared" si="65"/>
        <v>5.6784489121741455</v>
      </c>
      <c r="D2042" s="29">
        <f t="shared" si="66"/>
        <v>2.1554277806048461E-3</v>
      </c>
    </row>
    <row r="2043" spans="1:4" x14ac:dyDescent="0.3">
      <c r="A2043" s="26">
        <v>45118</v>
      </c>
      <c r="B2043" s="27">
        <v>296.6624755859375</v>
      </c>
      <c r="C2043" s="27">
        <f t="shared" si="65"/>
        <v>5.6925950467198723</v>
      </c>
      <c r="D2043" s="29">
        <f t="shared" si="66"/>
        <v>2.4911969385510435E-3</v>
      </c>
    </row>
    <row r="2044" spans="1:4" x14ac:dyDescent="0.3">
      <c r="A2044" s="26">
        <v>45119</v>
      </c>
      <c r="B2044" s="27">
        <v>307.6522216796875</v>
      </c>
      <c r="C2044" s="27">
        <f t="shared" si="65"/>
        <v>5.7289699946123589</v>
      </c>
      <c r="D2044" s="29">
        <f t="shared" si="66"/>
        <v>6.3898709804497411E-3</v>
      </c>
    </row>
    <row r="2045" spans="1:4" x14ac:dyDescent="0.3">
      <c r="A2045" s="26">
        <v>45120</v>
      </c>
      <c r="B2045" s="27">
        <v>311.69998168945313</v>
      </c>
      <c r="C2045" s="27">
        <f t="shared" si="65"/>
        <v>5.7420411280291548</v>
      </c>
      <c r="D2045" s="29">
        <f t="shared" si="66"/>
        <v>2.2815852464035391E-3</v>
      </c>
    </row>
    <row r="2046" spans="1:4" x14ac:dyDescent="0.3">
      <c r="A2046" s="26">
        <v>45121</v>
      </c>
      <c r="B2046" s="27">
        <v>307.18475341796881</v>
      </c>
      <c r="C2046" s="27">
        <f t="shared" si="65"/>
        <v>5.7274493692409854</v>
      </c>
      <c r="D2046" s="29">
        <f t="shared" si="66"/>
        <v>-2.5412146069350161E-3</v>
      </c>
    </row>
    <row r="2047" spans="1:4" x14ac:dyDescent="0.3">
      <c r="A2047" s="26">
        <v>45124</v>
      </c>
      <c r="B2047" s="27">
        <v>308.92520141601563</v>
      </c>
      <c r="C2047" s="27">
        <f t="shared" si="65"/>
        <v>5.7330991809800578</v>
      </c>
      <c r="D2047" s="29">
        <f t="shared" si="66"/>
        <v>9.8644464138164523E-4</v>
      </c>
    </row>
    <row r="2048" spans="1:4" x14ac:dyDescent="0.3">
      <c r="A2048" s="26">
        <v>45125</v>
      </c>
      <c r="B2048" s="27">
        <v>310.34738159179688</v>
      </c>
      <c r="C2048" s="27">
        <f t="shared" si="65"/>
        <v>5.737692255871587</v>
      </c>
      <c r="D2048" s="29">
        <f t="shared" si="66"/>
        <v>8.0115043304451738E-4</v>
      </c>
    </row>
    <row r="2049" spans="1:4" x14ac:dyDescent="0.3">
      <c r="A2049" s="26">
        <v>45126</v>
      </c>
      <c r="B2049" s="27">
        <v>314.28582763671881</v>
      </c>
      <c r="C2049" s="27">
        <f t="shared" si="65"/>
        <v>5.7503028509533163</v>
      </c>
      <c r="D2049" s="29">
        <f t="shared" si="66"/>
        <v>2.1978514216798306E-3</v>
      </c>
    </row>
    <row r="2050" spans="1:4" x14ac:dyDescent="0.3">
      <c r="A2050" s="26">
        <v>45127</v>
      </c>
      <c r="B2050" s="27">
        <v>300.869384765625</v>
      </c>
      <c r="C2050" s="27">
        <f t="shared" si="65"/>
        <v>5.7066762329149547</v>
      </c>
      <c r="D2050" s="29">
        <f t="shared" si="66"/>
        <v>-7.5868383229813485E-3</v>
      </c>
    </row>
    <row r="2051" spans="1:4" x14ac:dyDescent="0.3">
      <c r="A2051" s="26">
        <v>45128</v>
      </c>
      <c r="B2051" s="27">
        <v>292.65451049804688</v>
      </c>
      <c r="C2051" s="27">
        <f t="shared" ref="C2051:C2114" si="67">LN(B2051)</f>
        <v>5.6789927682207013</v>
      </c>
      <c r="D2051" s="29">
        <f t="shared" si="66"/>
        <v>-4.8510662887409906E-3</v>
      </c>
    </row>
    <row r="2052" spans="1:4" x14ac:dyDescent="0.3">
      <c r="A2052" s="26">
        <v>45131</v>
      </c>
      <c r="B2052" s="27">
        <v>290.01889038085938</v>
      </c>
      <c r="C2052" s="27">
        <f t="shared" si="67"/>
        <v>5.6699460601033937</v>
      </c>
      <c r="D2052" s="29">
        <f t="shared" ref="D2052:D2115" si="68">C2052/C2051-1</f>
        <v>-1.5930127905660063E-3</v>
      </c>
    </row>
    <row r="2053" spans="1:4" x14ac:dyDescent="0.3">
      <c r="A2053" s="26">
        <v>45132</v>
      </c>
      <c r="B2053" s="27">
        <v>292.86334228515619</v>
      </c>
      <c r="C2053" s="27">
        <f t="shared" si="67"/>
        <v>5.6797060916316671</v>
      </c>
      <c r="D2053" s="29">
        <f t="shared" si="68"/>
        <v>1.7213623242291476E-3</v>
      </c>
    </row>
    <row r="2054" spans="1:4" x14ac:dyDescent="0.3">
      <c r="A2054" s="26">
        <v>45133</v>
      </c>
      <c r="B2054" s="27">
        <v>296.94094848632813</v>
      </c>
      <c r="C2054" s="27">
        <f t="shared" si="67"/>
        <v>5.6935332923887021</v>
      </c>
      <c r="D2054" s="29">
        <f t="shared" si="68"/>
        <v>2.4344923018828624E-3</v>
      </c>
    </row>
    <row r="2055" spans="1:4" x14ac:dyDescent="0.3">
      <c r="A2055" s="26">
        <v>45134</v>
      </c>
      <c r="B2055" s="27">
        <v>310.00924682617188</v>
      </c>
      <c r="C2055" s="27">
        <f t="shared" si="67"/>
        <v>5.7366021255058541</v>
      </c>
      <c r="D2055" s="29">
        <f t="shared" si="68"/>
        <v>7.5645176563257088E-3</v>
      </c>
    </row>
    <row r="2056" spans="1:4" x14ac:dyDescent="0.3">
      <c r="A2056" s="26">
        <v>45135</v>
      </c>
      <c r="B2056" s="27">
        <v>323.70416259765619</v>
      </c>
      <c r="C2056" s="27">
        <f t="shared" si="67"/>
        <v>5.779830020280027</v>
      </c>
      <c r="D2056" s="29">
        <f t="shared" si="68"/>
        <v>7.5354528392295173E-3</v>
      </c>
    </row>
    <row r="2057" spans="1:4" x14ac:dyDescent="0.3">
      <c r="A2057" s="26">
        <v>45138</v>
      </c>
      <c r="B2057" s="27">
        <v>316.86166381835938</v>
      </c>
      <c r="C2057" s="27">
        <f t="shared" si="67"/>
        <v>5.7584652868905026</v>
      </c>
      <c r="D2057" s="29">
        <f t="shared" si="68"/>
        <v>-3.6964293611682075E-3</v>
      </c>
    </row>
    <row r="2058" spans="1:4" x14ac:dyDescent="0.3">
      <c r="A2058" s="26">
        <v>45139</v>
      </c>
      <c r="B2058" s="27">
        <v>320.94921875</v>
      </c>
      <c r="C2058" s="27">
        <f t="shared" si="67"/>
        <v>5.7712829135750461</v>
      </c>
      <c r="D2058" s="29">
        <f t="shared" si="68"/>
        <v>2.2258754800039693E-3</v>
      </c>
    </row>
    <row r="2059" spans="1:4" x14ac:dyDescent="0.3">
      <c r="A2059" s="26">
        <v>45140</v>
      </c>
      <c r="B2059" s="27">
        <v>312.59506225585938</v>
      </c>
      <c r="C2059" s="27">
        <f t="shared" si="67"/>
        <v>5.7449086221360046</v>
      </c>
      <c r="D2059" s="29">
        <f t="shared" si="68"/>
        <v>-4.5699183065527338E-3</v>
      </c>
    </row>
    <row r="2060" spans="1:4" x14ac:dyDescent="0.3">
      <c r="A2060" s="26">
        <v>45141</v>
      </c>
      <c r="B2060" s="27">
        <v>311.481201171875</v>
      </c>
      <c r="C2060" s="27">
        <f t="shared" si="67"/>
        <v>5.7413389870384339</v>
      </c>
      <c r="D2060" s="29">
        <f t="shared" si="68"/>
        <v>-6.2135628821258226E-4</v>
      </c>
    </row>
    <row r="2061" spans="1:4" x14ac:dyDescent="0.3">
      <c r="A2061" s="26">
        <v>45142</v>
      </c>
      <c r="B2061" s="27">
        <v>309.03463745117188</v>
      </c>
      <c r="C2061" s="27">
        <f t="shared" si="67"/>
        <v>5.7334533659267715</v>
      </c>
      <c r="D2061" s="29">
        <f t="shared" si="68"/>
        <v>-1.3734811913153067E-3</v>
      </c>
    </row>
    <row r="2062" spans="1:4" x14ac:dyDescent="0.3">
      <c r="A2062" s="26">
        <v>45145</v>
      </c>
      <c r="B2062" s="27">
        <v>314.83279418945313</v>
      </c>
      <c r="C2062" s="27">
        <f t="shared" si="67"/>
        <v>5.7520416857980434</v>
      </c>
      <c r="D2062" s="29">
        <f t="shared" si="68"/>
        <v>3.2420809388178373E-3</v>
      </c>
    </row>
    <row r="2063" spans="1:4" x14ac:dyDescent="0.3">
      <c r="A2063" s="26">
        <v>45146</v>
      </c>
      <c r="B2063" s="27">
        <v>310.93423461914063</v>
      </c>
      <c r="C2063" s="27">
        <f t="shared" si="67"/>
        <v>5.7395814255703819</v>
      </c>
      <c r="D2063" s="29">
        <f t="shared" si="68"/>
        <v>-2.1662326019692424E-3</v>
      </c>
    </row>
    <row r="2064" spans="1:4" x14ac:dyDescent="0.3">
      <c r="A2064" s="26">
        <v>45147</v>
      </c>
      <c r="B2064" s="27">
        <v>303.54473876953119</v>
      </c>
      <c r="C2064" s="27">
        <f t="shared" si="67"/>
        <v>5.7155290090906448</v>
      </c>
      <c r="D2064" s="29">
        <f t="shared" si="68"/>
        <v>-4.1906220499949853E-3</v>
      </c>
    </row>
    <row r="2065" spans="1:4" x14ac:dyDescent="0.3">
      <c r="A2065" s="26">
        <v>45148</v>
      </c>
      <c r="B2065" s="27">
        <v>304.07183837890619</v>
      </c>
      <c r="C2065" s="27">
        <f t="shared" si="67"/>
        <v>5.717263983946232</v>
      </c>
      <c r="D2065" s="29">
        <f t="shared" si="68"/>
        <v>3.0355455336295023E-4</v>
      </c>
    </row>
    <row r="2066" spans="1:4" x14ac:dyDescent="0.3">
      <c r="A2066" s="26">
        <v>45149</v>
      </c>
      <c r="B2066" s="27">
        <v>299.9942626953125</v>
      </c>
      <c r="C2066" s="27">
        <f t="shared" si="67"/>
        <v>5.7037633501243699</v>
      </c>
      <c r="D2066" s="29">
        <f t="shared" si="68"/>
        <v>-2.3613801741132479E-3</v>
      </c>
    </row>
    <row r="2067" spans="1:4" x14ac:dyDescent="0.3">
      <c r="A2067" s="26">
        <v>45152</v>
      </c>
      <c r="B2067" s="27">
        <v>304.51937866210938</v>
      </c>
      <c r="C2067" s="27">
        <f t="shared" si="67"/>
        <v>5.7187347260514212</v>
      </c>
      <c r="D2067" s="29">
        <f t="shared" si="68"/>
        <v>2.6248241745030487E-3</v>
      </c>
    </row>
    <row r="2068" spans="1:4" x14ac:dyDescent="0.3">
      <c r="A2068" s="26">
        <v>45153</v>
      </c>
      <c r="B2068" s="27">
        <v>300.30255126953119</v>
      </c>
      <c r="C2068" s="27">
        <f t="shared" si="67"/>
        <v>5.7047904706892307</v>
      </c>
      <c r="D2068" s="29">
        <f t="shared" si="68"/>
        <v>-2.4383462479328211E-3</v>
      </c>
    </row>
    <row r="2069" spans="1:4" x14ac:dyDescent="0.3">
      <c r="A2069" s="26">
        <v>45154</v>
      </c>
      <c r="B2069" s="27">
        <v>292.68435668945313</v>
      </c>
      <c r="C2069" s="27">
        <f t="shared" si="67"/>
        <v>5.6790947474095281</v>
      </c>
      <c r="D2069" s="29">
        <f t="shared" si="68"/>
        <v>-4.5042361172992207E-3</v>
      </c>
    </row>
    <row r="2070" spans="1:4" x14ac:dyDescent="0.3">
      <c r="A2070" s="26">
        <v>45155</v>
      </c>
      <c r="B2070" s="27">
        <v>283.53448486328119</v>
      </c>
      <c r="C2070" s="27">
        <f t="shared" si="67"/>
        <v>5.6473337554996821</v>
      </c>
      <c r="D2070" s="29">
        <f t="shared" si="68"/>
        <v>-5.5926152533963824E-3</v>
      </c>
    </row>
    <row r="2071" spans="1:4" x14ac:dyDescent="0.3">
      <c r="A2071" s="26">
        <v>45156</v>
      </c>
      <c r="B2071" s="27">
        <v>281.70455932617188</v>
      </c>
      <c r="C2071" s="27">
        <f t="shared" si="67"/>
        <v>5.6408588597927842</v>
      </c>
      <c r="D2071" s="29">
        <f t="shared" si="68"/>
        <v>-1.1465402944517145E-3</v>
      </c>
    </row>
    <row r="2072" spans="1:4" x14ac:dyDescent="0.3">
      <c r="A2072" s="26">
        <v>45159</v>
      </c>
      <c r="B2072" s="27">
        <v>288.31826782226563</v>
      </c>
      <c r="C2072" s="27">
        <f t="shared" si="67"/>
        <v>5.6640649665712717</v>
      </c>
      <c r="D2072" s="29">
        <f t="shared" si="68"/>
        <v>4.1139314695315399E-3</v>
      </c>
    </row>
    <row r="2073" spans="1:4" x14ac:dyDescent="0.3">
      <c r="A2073" s="26">
        <v>45160</v>
      </c>
      <c r="B2073" s="27">
        <v>286.03082275390619</v>
      </c>
      <c r="C2073" s="27">
        <f t="shared" si="67"/>
        <v>5.6560995768796873</v>
      </c>
      <c r="D2073" s="29">
        <f t="shared" si="68"/>
        <v>-1.4063026710666726E-3</v>
      </c>
    </row>
    <row r="2074" spans="1:4" x14ac:dyDescent="0.3">
      <c r="A2074" s="26">
        <v>45161</v>
      </c>
      <c r="B2074" s="27">
        <v>292.63455200195313</v>
      </c>
      <c r="C2074" s="27">
        <f t="shared" si="67"/>
        <v>5.6789245677454829</v>
      </c>
      <c r="D2074" s="29">
        <f t="shared" si="68"/>
        <v>4.0354648208629218E-3</v>
      </c>
    </row>
    <row r="2075" spans="1:4" x14ac:dyDescent="0.3">
      <c r="A2075" s="26">
        <v>45162</v>
      </c>
      <c r="B2075" s="27">
        <v>285.18545532226563</v>
      </c>
      <c r="C2075" s="27">
        <f t="shared" si="67"/>
        <v>5.6531396890709162</v>
      </c>
      <c r="D2075" s="29">
        <f t="shared" si="68"/>
        <v>-4.540450989790723E-3</v>
      </c>
    </row>
    <row r="2076" spans="1:4" x14ac:dyDescent="0.3">
      <c r="A2076" s="26">
        <v>45163</v>
      </c>
      <c r="B2076" s="27">
        <v>283.9422607421875</v>
      </c>
      <c r="C2076" s="27">
        <f t="shared" si="67"/>
        <v>5.648770910245668</v>
      </c>
      <c r="D2076" s="29">
        <f t="shared" si="68"/>
        <v>-7.7280574433602478E-4</v>
      </c>
    </row>
    <row r="2077" spans="1:4" x14ac:dyDescent="0.3">
      <c r="A2077" s="26">
        <v>45166</v>
      </c>
      <c r="B2077" s="27">
        <v>288.67630004882813</v>
      </c>
      <c r="C2077" s="27">
        <f t="shared" si="67"/>
        <v>5.6653059913311239</v>
      </c>
      <c r="D2077" s="29">
        <f t="shared" si="68"/>
        <v>2.9271998011930478E-3</v>
      </c>
    </row>
    <row r="2078" spans="1:4" x14ac:dyDescent="0.3">
      <c r="A2078" s="26">
        <v>45167</v>
      </c>
      <c r="B2078" s="27">
        <v>296.3641357421875</v>
      </c>
      <c r="C2078" s="27">
        <f t="shared" si="67"/>
        <v>5.6915888865806146</v>
      </c>
      <c r="D2078" s="29">
        <f t="shared" si="68"/>
        <v>4.6392719633692181E-3</v>
      </c>
    </row>
    <row r="2079" spans="1:4" x14ac:dyDescent="0.3">
      <c r="A2079" s="26">
        <v>45168</v>
      </c>
      <c r="B2079" s="27">
        <v>293.48989868164063</v>
      </c>
      <c r="C2079" s="27">
        <f t="shared" si="67"/>
        <v>5.6818432219182684</v>
      </c>
      <c r="D2079" s="29">
        <f t="shared" si="68"/>
        <v>-1.7122924470747147E-3</v>
      </c>
    </row>
    <row r="2080" spans="1:4" x14ac:dyDescent="0.3">
      <c r="A2080" s="26">
        <v>45169</v>
      </c>
      <c r="B2080" s="27">
        <v>294.27560424804688</v>
      </c>
      <c r="C2080" s="27">
        <f t="shared" si="67"/>
        <v>5.6845167576412559</v>
      </c>
      <c r="D2080" s="29">
        <f t="shared" si="68"/>
        <v>4.7054021354786535E-4</v>
      </c>
    </row>
    <row r="2081" spans="1:4" x14ac:dyDescent="0.3">
      <c r="A2081" s="26">
        <v>45170</v>
      </c>
      <c r="B2081" s="27">
        <v>294.762939453125</v>
      </c>
      <c r="C2081" s="27">
        <f t="shared" si="67"/>
        <v>5.6861714382100637</v>
      </c>
      <c r="D2081" s="29">
        <f t="shared" si="68"/>
        <v>2.9108552922885167E-4</v>
      </c>
    </row>
    <row r="2082" spans="1:4" x14ac:dyDescent="0.3">
      <c r="A2082" s="26">
        <v>45174</v>
      </c>
      <c r="B2082" s="27">
        <v>298.51229858398438</v>
      </c>
      <c r="C2082" s="27">
        <f t="shared" si="67"/>
        <v>5.6988111332702873</v>
      </c>
      <c r="D2082" s="29">
        <f t="shared" si="68"/>
        <v>2.2228832172184187E-3</v>
      </c>
    </row>
    <row r="2083" spans="1:4" x14ac:dyDescent="0.3">
      <c r="A2083" s="26">
        <v>45175</v>
      </c>
      <c r="B2083" s="27">
        <v>297.5377197265625</v>
      </c>
      <c r="C2083" s="27">
        <f t="shared" si="67"/>
        <v>5.6955410059454881</v>
      </c>
      <c r="D2083" s="29">
        <f t="shared" si="68"/>
        <v>-5.7382623293267265E-4</v>
      </c>
    </row>
    <row r="2084" spans="1:4" x14ac:dyDescent="0.3">
      <c r="A2084" s="26">
        <v>45176</v>
      </c>
      <c r="B2084" s="27">
        <v>297.04037475585938</v>
      </c>
      <c r="C2084" s="27">
        <f t="shared" si="67"/>
        <v>5.6938680715023517</v>
      </c>
      <c r="D2084" s="29">
        <f t="shared" si="68"/>
        <v>-2.9372704742003375E-4</v>
      </c>
    </row>
    <row r="2085" spans="1:4" x14ac:dyDescent="0.3">
      <c r="A2085" s="26">
        <v>45177</v>
      </c>
      <c r="B2085" s="27">
        <v>296.26467895507813</v>
      </c>
      <c r="C2085" s="27">
        <f t="shared" si="67"/>
        <v>5.6912532404372724</v>
      </c>
      <c r="D2085" s="29">
        <f t="shared" si="68"/>
        <v>-4.592363279659617E-4</v>
      </c>
    </row>
    <row r="2086" spans="1:4" x14ac:dyDescent="0.3">
      <c r="A2086" s="26">
        <v>45180</v>
      </c>
      <c r="B2086" s="27">
        <v>305.88192749023438</v>
      </c>
      <c r="C2086" s="27">
        <f t="shared" si="67"/>
        <v>5.7231991696150244</v>
      </c>
      <c r="D2086" s="29">
        <f t="shared" si="68"/>
        <v>5.6131624842787886E-3</v>
      </c>
    </row>
    <row r="2087" spans="1:4" x14ac:dyDescent="0.3">
      <c r="A2087" s="26">
        <v>45181</v>
      </c>
      <c r="B2087" s="27">
        <v>300.01406860351563</v>
      </c>
      <c r="C2087" s="27">
        <f t="shared" si="67"/>
        <v>5.703829368901701</v>
      </c>
      <c r="D2087" s="29">
        <f t="shared" si="68"/>
        <v>-3.384435896650162E-3</v>
      </c>
    </row>
    <row r="2088" spans="1:4" x14ac:dyDescent="0.3">
      <c r="A2088" s="26">
        <v>45182</v>
      </c>
      <c r="B2088" s="27">
        <v>303.39553833007813</v>
      </c>
      <c r="C2088" s="27">
        <f t="shared" si="67"/>
        <v>5.715037361236357</v>
      </c>
      <c r="D2088" s="29">
        <f t="shared" si="68"/>
        <v>1.9649943239472556E-3</v>
      </c>
    </row>
    <row r="2089" spans="1:4" x14ac:dyDescent="0.3">
      <c r="A2089" s="26">
        <v>45183</v>
      </c>
      <c r="B2089" s="27">
        <v>310.01925659179688</v>
      </c>
      <c r="C2089" s="27">
        <f t="shared" si="67"/>
        <v>5.7366344135880007</v>
      </c>
      <c r="D2089" s="29">
        <f t="shared" si="68"/>
        <v>3.7789870803175418E-3</v>
      </c>
    </row>
    <row r="2090" spans="1:4" x14ac:dyDescent="0.3">
      <c r="A2090" s="26">
        <v>45184</v>
      </c>
      <c r="B2090" s="27">
        <v>298.67147827148438</v>
      </c>
      <c r="C2090" s="27">
        <f t="shared" si="67"/>
        <v>5.699344234461039</v>
      </c>
      <c r="D2090" s="29">
        <f t="shared" si="68"/>
        <v>-6.5003583004409338E-3</v>
      </c>
    </row>
    <row r="2091" spans="1:4" x14ac:dyDescent="0.3">
      <c r="A2091" s="26">
        <v>45187</v>
      </c>
      <c r="B2091" s="27">
        <v>300.89920043945313</v>
      </c>
      <c r="C2091" s="27">
        <f t="shared" si="67"/>
        <v>5.7067753264023366</v>
      </c>
      <c r="D2091" s="29">
        <f t="shared" si="68"/>
        <v>1.3038503441089588E-3</v>
      </c>
    </row>
    <row r="2092" spans="1:4" x14ac:dyDescent="0.3">
      <c r="A2092" s="26">
        <v>45188</v>
      </c>
      <c r="B2092" s="27">
        <v>303.40548706054688</v>
      </c>
      <c r="C2092" s="27">
        <f t="shared" si="67"/>
        <v>5.7150701519867129</v>
      </c>
      <c r="D2092" s="29">
        <f t="shared" si="68"/>
        <v>1.4535048446713272E-3</v>
      </c>
    </row>
    <row r="2093" spans="1:4" x14ac:dyDescent="0.3">
      <c r="A2093" s="26">
        <v>45189</v>
      </c>
      <c r="B2093" s="27">
        <v>298.03497314453119</v>
      </c>
      <c r="C2093" s="27">
        <f t="shared" si="67"/>
        <v>5.6972108391647183</v>
      </c>
      <c r="D2093" s="29">
        <f t="shared" si="68"/>
        <v>-3.1249507612406413E-3</v>
      </c>
    </row>
    <row r="2094" spans="1:4" x14ac:dyDescent="0.3">
      <c r="A2094" s="26">
        <v>45190</v>
      </c>
      <c r="B2094" s="27">
        <v>294.11648559570313</v>
      </c>
      <c r="C2094" s="27">
        <f t="shared" si="67"/>
        <v>5.6839758983776152</v>
      </c>
      <c r="D2094" s="29">
        <f t="shared" si="68"/>
        <v>-2.3230561691909291E-3</v>
      </c>
    </row>
    <row r="2095" spans="1:4" x14ac:dyDescent="0.3">
      <c r="A2095" s="26">
        <v>45191</v>
      </c>
      <c r="B2095" s="27">
        <v>297.44815063476563</v>
      </c>
      <c r="C2095" s="27">
        <f t="shared" si="67"/>
        <v>5.6952399262159163</v>
      </c>
      <c r="D2095" s="29">
        <f t="shared" si="68"/>
        <v>1.9817163266853122E-3</v>
      </c>
    </row>
    <row r="2096" spans="1:4" x14ac:dyDescent="0.3">
      <c r="A2096" s="26">
        <v>45194</v>
      </c>
      <c r="B2096" s="27">
        <v>299.1885986328125</v>
      </c>
      <c r="C2096" s="27">
        <f t="shared" si="67"/>
        <v>5.7010741392005082</v>
      </c>
      <c r="D2096" s="29">
        <f t="shared" si="68"/>
        <v>1.0244016161173874E-3</v>
      </c>
    </row>
    <row r="2097" spans="1:4" x14ac:dyDescent="0.3">
      <c r="A2097" s="26">
        <v>45195</v>
      </c>
      <c r="B2097" s="27">
        <v>297.32882690429688</v>
      </c>
      <c r="C2097" s="27">
        <f t="shared" si="67"/>
        <v>5.6948386876455759</v>
      </c>
      <c r="D2097" s="29">
        <f t="shared" si="68"/>
        <v>-1.0937327602982272E-3</v>
      </c>
    </row>
    <row r="2098" spans="1:4" x14ac:dyDescent="0.3">
      <c r="A2098" s="26">
        <v>45196</v>
      </c>
      <c r="B2098" s="27">
        <v>296.115478515625</v>
      </c>
      <c r="C2098" s="27">
        <f t="shared" si="67"/>
        <v>5.6907495083634467</v>
      </c>
      <c r="D2098" s="29">
        <f t="shared" si="68"/>
        <v>-7.1805006364800139E-4</v>
      </c>
    </row>
    <row r="2099" spans="1:4" x14ac:dyDescent="0.3">
      <c r="A2099" s="26">
        <v>45197</v>
      </c>
      <c r="B2099" s="27">
        <v>302.30154418945313</v>
      </c>
      <c r="C2099" s="27">
        <f t="shared" si="67"/>
        <v>5.7114250099081687</v>
      </c>
      <c r="D2099" s="29">
        <f t="shared" si="68"/>
        <v>3.6331772316346989E-3</v>
      </c>
    </row>
    <row r="2100" spans="1:4" x14ac:dyDescent="0.3">
      <c r="A2100" s="26">
        <v>45198</v>
      </c>
      <c r="B2100" s="27">
        <v>298.572021484375</v>
      </c>
      <c r="C2100" s="27">
        <f t="shared" si="67"/>
        <v>5.6990111817344067</v>
      </c>
      <c r="D2100" s="29">
        <f t="shared" si="68"/>
        <v>-2.173508039101768E-3</v>
      </c>
    </row>
    <row r="2101" spans="1:4" x14ac:dyDescent="0.3">
      <c r="A2101" s="26">
        <v>45201</v>
      </c>
      <c r="B2101" s="27">
        <v>305.14590454101563</v>
      </c>
      <c r="C2101" s="27">
        <f t="shared" si="67"/>
        <v>5.7207900377666228</v>
      </c>
      <c r="D2101" s="29">
        <f t="shared" si="68"/>
        <v>3.8215148799880527E-3</v>
      </c>
    </row>
    <row r="2102" spans="1:4" x14ac:dyDescent="0.3">
      <c r="A2102" s="26">
        <v>45202</v>
      </c>
      <c r="B2102" s="27">
        <v>299.29803466796881</v>
      </c>
      <c r="C2102" s="27">
        <f t="shared" si="67"/>
        <v>5.7014398484086568</v>
      </c>
      <c r="D2102" s="29">
        <f t="shared" si="68"/>
        <v>-3.3824330608575037E-3</v>
      </c>
    </row>
    <row r="2103" spans="1:4" x14ac:dyDescent="0.3">
      <c r="A2103" s="26">
        <v>45203</v>
      </c>
      <c r="B2103" s="27">
        <v>303.91265869140619</v>
      </c>
      <c r="C2103" s="27">
        <f t="shared" si="67"/>
        <v>5.7167403531895129</v>
      </c>
      <c r="D2103" s="29">
        <f t="shared" si="68"/>
        <v>2.6836211882734773E-3</v>
      </c>
    </row>
    <row r="2104" spans="1:4" x14ac:dyDescent="0.3">
      <c r="A2104" s="26">
        <v>45204</v>
      </c>
      <c r="B2104" s="27">
        <v>303.12704467773438</v>
      </c>
      <c r="C2104" s="27">
        <f t="shared" si="67"/>
        <v>5.7141520069976064</v>
      </c>
      <c r="D2104" s="29">
        <f t="shared" si="68"/>
        <v>-4.5276609256228451E-4</v>
      </c>
    </row>
    <row r="2105" spans="1:4" x14ac:dyDescent="0.3">
      <c r="A2105" s="26">
        <v>45205</v>
      </c>
      <c r="B2105" s="27">
        <v>313.70895385742188</v>
      </c>
      <c r="C2105" s="27">
        <f t="shared" si="67"/>
        <v>5.7484656575289259</v>
      </c>
      <c r="D2105" s="29">
        <f t="shared" si="68"/>
        <v>6.0050293533140398E-3</v>
      </c>
    </row>
    <row r="2106" spans="1:4" x14ac:dyDescent="0.3">
      <c r="A2106" s="26">
        <v>45208</v>
      </c>
      <c r="B2106" s="27">
        <v>316.62295532226563</v>
      </c>
      <c r="C2106" s="27">
        <f t="shared" si="67"/>
        <v>5.7577116505742314</v>
      </c>
      <c r="D2106" s="29">
        <f t="shared" si="68"/>
        <v>1.6084279869004181E-3</v>
      </c>
    </row>
    <row r="2107" spans="1:4" x14ac:dyDescent="0.3">
      <c r="A2107" s="26">
        <v>45209</v>
      </c>
      <c r="B2107" s="27">
        <v>320.083984375</v>
      </c>
      <c r="C2107" s="27">
        <f t="shared" si="67"/>
        <v>5.7685834125313633</v>
      </c>
      <c r="D2107" s="29">
        <f t="shared" si="68"/>
        <v>1.8882088261658048E-3</v>
      </c>
    </row>
    <row r="2108" spans="1:4" x14ac:dyDescent="0.3">
      <c r="A2108" s="26">
        <v>45210</v>
      </c>
      <c r="B2108" s="27">
        <v>326.03140258789063</v>
      </c>
      <c r="C2108" s="27">
        <f t="shared" si="67"/>
        <v>5.786993703684284</v>
      </c>
      <c r="D2108" s="29">
        <f t="shared" si="68"/>
        <v>3.191475243805364E-3</v>
      </c>
    </row>
    <row r="2109" spans="1:4" x14ac:dyDescent="0.3">
      <c r="A2109" s="26">
        <v>45211</v>
      </c>
      <c r="B2109" s="27">
        <v>322.39129638671881</v>
      </c>
      <c r="C2109" s="27">
        <f t="shared" si="67"/>
        <v>5.7757660139489557</v>
      </c>
      <c r="D2109" s="29">
        <f t="shared" si="68"/>
        <v>-1.940159314184231E-3</v>
      </c>
    </row>
    <row r="2110" spans="1:4" x14ac:dyDescent="0.3">
      <c r="A2110" s="26">
        <v>45212</v>
      </c>
      <c r="B2110" s="27">
        <v>312.9730224609375</v>
      </c>
      <c r="C2110" s="27">
        <f t="shared" si="67"/>
        <v>5.7461169966049157</v>
      </c>
      <c r="D2110" s="29">
        <f t="shared" si="68"/>
        <v>-5.1333480740797244E-3</v>
      </c>
    </row>
    <row r="2111" spans="1:4" x14ac:dyDescent="0.3">
      <c r="A2111" s="26">
        <v>45215</v>
      </c>
      <c r="B2111" s="27">
        <v>319.39773559570313</v>
      </c>
      <c r="C2111" s="27">
        <f t="shared" si="67"/>
        <v>5.7664371461994355</v>
      </c>
      <c r="D2111" s="29">
        <f t="shared" si="68"/>
        <v>3.5363271591104528E-3</v>
      </c>
    </row>
    <row r="2112" spans="1:4" x14ac:dyDescent="0.3">
      <c r="A2112" s="26">
        <v>45216</v>
      </c>
      <c r="B2112" s="27">
        <v>322.232177734375</v>
      </c>
      <c r="C2112" s="27">
        <f t="shared" si="67"/>
        <v>5.7752723345780872</v>
      </c>
      <c r="D2112" s="29">
        <f t="shared" si="68"/>
        <v>1.532174574117251E-3</v>
      </c>
    </row>
    <row r="2113" spans="1:4" x14ac:dyDescent="0.3">
      <c r="A2113" s="26">
        <v>45217</v>
      </c>
      <c r="B2113" s="27">
        <v>315.24057006835938</v>
      </c>
      <c r="C2113" s="27">
        <f t="shared" si="67"/>
        <v>5.753336061846837</v>
      </c>
      <c r="D2113" s="29">
        <f t="shared" si="68"/>
        <v>-3.7983096658337212E-3</v>
      </c>
    </row>
    <row r="2114" spans="1:4" x14ac:dyDescent="0.3">
      <c r="A2114" s="26">
        <v>45218</v>
      </c>
      <c r="B2114" s="27">
        <v>311.10324096679688</v>
      </c>
      <c r="C2114" s="27">
        <f t="shared" si="67"/>
        <v>5.7401248216146659</v>
      </c>
      <c r="D2114" s="29">
        <f t="shared" si="68"/>
        <v>-2.2962747335031342E-3</v>
      </c>
    </row>
    <row r="2115" spans="1:4" x14ac:dyDescent="0.3">
      <c r="A2115" s="26">
        <v>45219</v>
      </c>
      <c r="B2115" s="27">
        <v>306.9659423828125</v>
      </c>
      <c r="C2115" s="27">
        <f t="shared" ref="C2115:C2178" si="69">LN(B2115)</f>
        <v>5.7267368045694456</v>
      </c>
      <c r="D2115" s="29">
        <f t="shared" si="68"/>
        <v>-2.3323564314851053E-3</v>
      </c>
    </row>
    <row r="2116" spans="1:4" x14ac:dyDescent="0.3">
      <c r="A2116" s="26">
        <v>45222</v>
      </c>
      <c r="B2116" s="27">
        <v>312.2967529296875</v>
      </c>
      <c r="C2116" s="27">
        <f t="shared" si="69"/>
        <v>5.7439538669557217</v>
      </c>
      <c r="D2116" s="29">
        <f t="shared" ref="D2116:D2179" si="70">C2116/C2115-1</f>
        <v>3.0064350735550249E-3</v>
      </c>
    </row>
    <row r="2117" spans="1:4" x14ac:dyDescent="0.3">
      <c r="A2117" s="26">
        <v>45223</v>
      </c>
      <c r="B2117" s="27">
        <v>310.84466552734381</v>
      </c>
      <c r="C2117" s="27">
        <f t="shared" si="69"/>
        <v>5.7392933196459275</v>
      </c>
      <c r="D2117" s="29">
        <f t="shared" si="70"/>
        <v>-8.1138313742490364E-4</v>
      </c>
    </row>
    <row r="2118" spans="1:4" x14ac:dyDescent="0.3">
      <c r="A2118" s="26">
        <v>45224</v>
      </c>
      <c r="B2118" s="27">
        <v>297.89572143554688</v>
      </c>
      <c r="C2118" s="27">
        <f t="shared" si="69"/>
        <v>5.6967434971976569</v>
      </c>
      <c r="D2118" s="29">
        <f t="shared" si="70"/>
        <v>-7.4137738007953313E-3</v>
      </c>
    </row>
    <row r="2119" spans="1:4" x14ac:dyDescent="0.3">
      <c r="A2119" s="26">
        <v>45225</v>
      </c>
      <c r="B2119" s="27">
        <v>286.7767333984375</v>
      </c>
      <c r="C2119" s="27">
        <f t="shared" si="69"/>
        <v>5.6587039806035575</v>
      </c>
      <c r="D2119" s="29">
        <f t="shared" si="70"/>
        <v>-6.6774143179891832E-3</v>
      </c>
    </row>
    <row r="2120" spans="1:4" x14ac:dyDescent="0.3">
      <c r="A2120" s="26">
        <v>45226</v>
      </c>
      <c r="B2120" s="27">
        <v>295.11102294921881</v>
      </c>
      <c r="C2120" s="27">
        <f t="shared" si="69"/>
        <v>5.6873516345187083</v>
      </c>
      <c r="D2120" s="29">
        <f t="shared" si="70"/>
        <v>5.0625821766514534E-3</v>
      </c>
    </row>
    <row r="2121" spans="1:4" x14ac:dyDescent="0.3">
      <c r="A2121" s="26">
        <v>45229</v>
      </c>
      <c r="B2121" s="27">
        <v>301.00863647460938</v>
      </c>
      <c r="C2121" s="27">
        <f t="shared" si="69"/>
        <v>5.7071389569439264</v>
      </c>
      <c r="D2121" s="29">
        <f t="shared" si="70"/>
        <v>3.4791804159111095E-3</v>
      </c>
    </row>
    <row r="2122" spans="1:4" x14ac:dyDescent="0.3">
      <c r="A2122" s="26">
        <v>45230</v>
      </c>
      <c r="B2122" s="27">
        <v>299.626220703125</v>
      </c>
      <c r="C2122" s="27">
        <f t="shared" si="69"/>
        <v>5.7025357668492944</v>
      </c>
      <c r="D2122" s="29">
        <f t="shared" si="70"/>
        <v>-8.065670258530222E-4</v>
      </c>
    </row>
    <row r="2123" spans="1:4" x14ac:dyDescent="0.3">
      <c r="A2123" s="26">
        <v>45231</v>
      </c>
      <c r="B2123" s="27">
        <v>310.14852905273438</v>
      </c>
      <c r="C2123" s="27">
        <f t="shared" si="69"/>
        <v>5.7370513087115533</v>
      </c>
      <c r="D2123" s="29">
        <f t="shared" si="70"/>
        <v>6.0526655637846982E-3</v>
      </c>
    </row>
    <row r="2124" spans="1:4" x14ac:dyDescent="0.3">
      <c r="A2124" s="26">
        <v>45232</v>
      </c>
      <c r="B2124" s="27">
        <v>309.17379760742188</v>
      </c>
      <c r="C2124" s="27">
        <f t="shared" si="69"/>
        <v>5.7339035705849701</v>
      </c>
      <c r="D2124" s="29">
        <f t="shared" si="70"/>
        <v>-5.4866828919652999E-4</v>
      </c>
    </row>
    <row r="2125" spans="1:4" x14ac:dyDescent="0.3">
      <c r="A2125" s="26">
        <v>45233</v>
      </c>
      <c r="B2125" s="27">
        <v>312.88351440429688</v>
      </c>
      <c r="C2125" s="27">
        <f t="shared" si="69"/>
        <v>5.7458309628192845</v>
      </c>
      <c r="D2125" s="29">
        <f t="shared" si="70"/>
        <v>2.0801522187261501E-3</v>
      </c>
    </row>
    <row r="2126" spans="1:4" x14ac:dyDescent="0.3">
      <c r="A2126" s="26">
        <v>45236</v>
      </c>
      <c r="B2126" s="27">
        <v>314.07696533203119</v>
      </c>
      <c r="C2126" s="27">
        <f t="shared" si="69"/>
        <v>5.7496380683954795</v>
      </c>
      <c r="D2126" s="29">
        <f t="shared" si="70"/>
        <v>6.6258572534239057E-4</v>
      </c>
    </row>
    <row r="2127" spans="1:4" x14ac:dyDescent="0.3">
      <c r="A2127" s="26">
        <v>45237</v>
      </c>
      <c r="B2127" s="27">
        <v>317.08050537109381</v>
      </c>
      <c r="C2127" s="27">
        <f t="shared" si="69"/>
        <v>5.7591557017960371</v>
      </c>
      <c r="D2127" s="29">
        <f t="shared" si="70"/>
        <v>1.6553447864613435E-3</v>
      </c>
    </row>
    <row r="2128" spans="1:4" x14ac:dyDescent="0.3">
      <c r="A2128" s="26">
        <v>45238</v>
      </c>
      <c r="B2128" s="27">
        <v>318.0352783203125</v>
      </c>
      <c r="C2128" s="27">
        <f t="shared" si="69"/>
        <v>5.7621623147411896</v>
      </c>
      <c r="D2128" s="29">
        <f t="shared" si="70"/>
        <v>5.2205793710613513E-4</v>
      </c>
    </row>
    <row r="2129" spans="1:4" x14ac:dyDescent="0.3">
      <c r="A2129" s="26">
        <v>45239</v>
      </c>
      <c r="B2129" s="27">
        <v>318.801025390625</v>
      </c>
      <c r="C2129" s="27">
        <f t="shared" si="69"/>
        <v>5.7645671633181177</v>
      </c>
      <c r="D2129" s="29">
        <f t="shared" si="70"/>
        <v>4.1735175886592479E-4</v>
      </c>
    </row>
    <row r="2130" spans="1:4" x14ac:dyDescent="0.3">
      <c r="A2130" s="26">
        <v>45240</v>
      </c>
      <c r="B2130" s="27">
        <v>326.9761962890625</v>
      </c>
      <c r="C2130" s="27">
        <f t="shared" si="69"/>
        <v>5.7898873740245751</v>
      </c>
      <c r="D2130" s="29">
        <f t="shared" si="70"/>
        <v>4.3923871453139807E-3</v>
      </c>
    </row>
    <row r="2131" spans="1:4" x14ac:dyDescent="0.3">
      <c r="A2131" s="26">
        <v>45243</v>
      </c>
      <c r="B2131" s="27">
        <v>327.39389038085938</v>
      </c>
      <c r="C2131" s="27">
        <f t="shared" si="69"/>
        <v>5.7911640037392731</v>
      </c>
      <c r="D2131" s="29">
        <f t="shared" si="70"/>
        <v>2.2049301346083183E-4</v>
      </c>
    </row>
    <row r="2132" spans="1:4" x14ac:dyDescent="0.3">
      <c r="A2132" s="26">
        <v>45244</v>
      </c>
      <c r="B2132" s="27">
        <v>334.47506713867188</v>
      </c>
      <c r="C2132" s="27">
        <f t="shared" si="69"/>
        <v>5.8125623390881831</v>
      </c>
      <c r="D2132" s="29">
        <f t="shared" si="70"/>
        <v>3.6949972984867685E-3</v>
      </c>
    </row>
    <row r="2133" spans="1:4" x14ac:dyDescent="0.3">
      <c r="A2133" s="26">
        <v>45245</v>
      </c>
      <c r="B2133" s="27">
        <v>330.89471435546881</v>
      </c>
      <c r="C2133" s="27">
        <f t="shared" si="69"/>
        <v>5.8018002412595493</v>
      </c>
      <c r="D2133" s="29">
        <f t="shared" si="70"/>
        <v>-1.8515238548516555E-3</v>
      </c>
    </row>
    <row r="2134" spans="1:4" x14ac:dyDescent="0.3">
      <c r="A2134" s="26">
        <v>45246</v>
      </c>
      <c r="B2134" s="27">
        <v>332.36666870117188</v>
      </c>
      <c r="C2134" s="27">
        <f t="shared" si="69"/>
        <v>5.8062387832879052</v>
      </c>
      <c r="D2134" s="29">
        <f t="shared" si="70"/>
        <v>7.6502841252468201E-4</v>
      </c>
    </row>
    <row r="2135" spans="1:4" x14ac:dyDescent="0.3">
      <c r="A2135" s="26">
        <v>45247</v>
      </c>
      <c r="B2135" s="27">
        <v>333.21197509765619</v>
      </c>
      <c r="C2135" s="27">
        <f t="shared" si="69"/>
        <v>5.8087788493157095</v>
      </c>
      <c r="D2135" s="29">
        <f t="shared" si="70"/>
        <v>4.3747185098808039E-4</v>
      </c>
    </row>
    <row r="2136" spans="1:4" x14ac:dyDescent="0.3">
      <c r="A2136" s="26">
        <v>45250</v>
      </c>
      <c r="B2136" s="27">
        <v>338.11508178710938</v>
      </c>
      <c r="C2136" s="27">
        <f t="shared" si="69"/>
        <v>5.8233863161934005</v>
      </c>
      <c r="D2136" s="29">
        <f t="shared" si="70"/>
        <v>2.5147225013415486E-3</v>
      </c>
    </row>
    <row r="2137" spans="1:4" x14ac:dyDescent="0.3">
      <c r="A2137" s="26">
        <v>45251</v>
      </c>
      <c r="B2137" s="27">
        <v>335.141357421875</v>
      </c>
      <c r="C2137" s="27">
        <f t="shared" si="69"/>
        <v>5.8145524052773041</v>
      </c>
      <c r="D2137" s="29">
        <f t="shared" si="70"/>
        <v>-1.5169714726861461E-3</v>
      </c>
    </row>
    <row r="2138" spans="1:4" x14ac:dyDescent="0.3">
      <c r="A2138" s="26">
        <v>45252</v>
      </c>
      <c r="B2138" s="27">
        <v>339.62677001953119</v>
      </c>
      <c r="C2138" s="27">
        <f t="shared" si="69"/>
        <v>5.8278472794209142</v>
      </c>
      <c r="D2138" s="29">
        <f t="shared" si="70"/>
        <v>2.286482813628643E-3</v>
      </c>
    </row>
    <row r="2139" spans="1:4" x14ac:dyDescent="0.3">
      <c r="A2139" s="26">
        <v>45254</v>
      </c>
      <c r="B2139" s="27">
        <v>336.38458251953119</v>
      </c>
      <c r="C2139" s="27">
        <f t="shared" si="69"/>
        <v>5.818255096250466</v>
      </c>
      <c r="D2139" s="29">
        <f t="shared" si="70"/>
        <v>-1.6459221922852096E-3</v>
      </c>
    </row>
    <row r="2140" spans="1:4" x14ac:dyDescent="0.3">
      <c r="A2140" s="26">
        <v>45257</v>
      </c>
      <c r="B2140" s="27">
        <v>332.87384033203119</v>
      </c>
      <c r="C2140" s="27">
        <f t="shared" si="69"/>
        <v>5.8077635603339042</v>
      </c>
      <c r="D2140" s="29">
        <f t="shared" si="70"/>
        <v>-1.8032100248274174E-3</v>
      </c>
    </row>
    <row r="2141" spans="1:4" x14ac:dyDescent="0.3">
      <c r="A2141" s="26">
        <v>45258</v>
      </c>
      <c r="B2141" s="27">
        <v>337.14041137695313</v>
      </c>
      <c r="C2141" s="27">
        <f t="shared" si="69"/>
        <v>5.8204994945476356</v>
      </c>
      <c r="D2141" s="29">
        <f t="shared" si="70"/>
        <v>2.1929154107986903E-3</v>
      </c>
    </row>
    <row r="2142" spans="1:4" x14ac:dyDescent="0.3">
      <c r="A2142" s="26">
        <v>45259</v>
      </c>
      <c r="B2142" s="27">
        <v>330.38748168945313</v>
      </c>
      <c r="C2142" s="27">
        <f t="shared" si="69"/>
        <v>5.8002661525799288</v>
      </c>
      <c r="D2142" s="29">
        <f t="shared" si="70"/>
        <v>-3.4762208959318031E-3</v>
      </c>
    </row>
    <row r="2143" spans="1:4" x14ac:dyDescent="0.3">
      <c r="A2143" s="26">
        <v>45260</v>
      </c>
      <c r="B2143" s="27">
        <v>325.36502075195313</v>
      </c>
      <c r="C2143" s="27">
        <f t="shared" si="69"/>
        <v>5.7849476928542405</v>
      </c>
      <c r="D2143" s="29">
        <f t="shared" si="70"/>
        <v>-2.6409925549493174E-3</v>
      </c>
    </row>
    <row r="2144" spans="1:4" x14ac:dyDescent="0.3">
      <c r="A2144" s="26">
        <v>45261</v>
      </c>
      <c r="B2144" s="27">
        <v>323.04776000976563</v>
      </c>
      <c r="C2144" s="27">
        <f t="shared" si="69"/>
        <v>5.7778001760992055</v>
      </c>
      <c r="D2144" s="29">
        <f t="shared" si="70"/>
        <v>-1.2355369719010412E-3</v>
      </c>
    </row>
    <row r="2145" spans="1:4" x14ac:dyDescent="0.3">
      <c r="A2145" s="26">
        <v>45264</v>
      </c>
      <c r="B2145" s="27">
        <v>318.27389526367188</v>
      </c>
      <c r="C2145" s="27">
        <f t="shared" si="69"/>
        <v>5.7629123179297359</v>
      </c>
      <c r="D2145" s="29">
        <f t="shared" si="70"/>
        <v>-2.5767346941237834E-3</v>
      </c>
    </row>
    <row r="2146" spans="1:4" x14ac:dyDescent="0.3">
      <c r="A2146" s="26">
        <v>45265</v>
      </c>
      <c r="B2146" s="27">
        <v>316.5533447265625</v>
      </c>
      <c r="C2146" s="27">
        <f t="shared" si="69"/>
        <v>5.7574917731215276</v>
      </c>
      <c r="D2146" s="29">
        <f t="shared" si="70"/>
        <v>-9.4059123393974708E-4</v>
      </c>
    </row>
    <row r="2147" spans="1:4" x14ac:dyDescent="0.3">
      <c r="A2147" s="26">
        <v>45266</v>
      </c>
      <c r="B2147" s="27">
        <v>315.71792602539063</v>
      </c>
      <c r="C2147" s="27">
        <f t="shared" si="69"/>
        <v>5.7548491757871751</v>
      </c>
      <c r="D2147" s="29">
        <f t="shared" si="70"/>
        <v>-4.589841268535233E-4</v>
      </c>
    </row>
    <row r="2148" spans="1:4" x14ac:dyDescent="0.3">
      <c r="A2148" s="26">
        <v>45267</v>
      </c>
      <c r="B2148" s="27">
        <v>324.80810546875</v>
      </c>
      <c r="C2148" s="27">
        <f t="shared" si="69"/>
        <v>5.783234563237075</v>
      </c>
      <c r="D2148" s="29">
        <f t="shared" si="70"/>
        <v>4.9324294317438788E-3</v>
      </c>
    </row>
    <row r="2149" spans="1:4" x14ac:dyDescent="0.3">
      <c r="A2149" s="26">
        <v>45268</v>
      </c>
      <c r="B2149" s="27">
        <v>330.93447875976563</v>
      </c>
      <c r="C2149" s="27">
        <f t="shared" si="69"/>
        <v>5.801920406416234</v>
      </c>
      <c r="D2149" s="29">
        <f t="shared" si="70"/>
        <v>3.2310367104839699E-3</v>
      </c>
    </row>
    <row r="2150" spans="1:4" x14ac:dyDescent="0.3">
      <c r="A2150" s="26">
        <v>45271</v>
      </c>
      <c r="B2150" s="27">
        <v>323.50521850585938</v>
      </c>
      <c r="C2150" s="27">
        <f t="shared" si="69"/>
        <v>5.7792152452045373</v>
      </c>
      <c r="D2150" s="29">
        <f t="shared" si="70"/>
        <v>-3.9133872271993608E-3</v>
      </c>
    </row>
    <row r="2151" spans="1:4" x14ac:dyDescent="0.3">
      <c r="A2151" s="26">
        <v>45272</v>
      </c>
      <c r="B2151" s="27">
        <v>332.396484375</v>
      </c>
      <c r="C2151" s="27">
        <f t="shared" si="69"/>
        <v>5.8063284864361924</v>
      </c>
      <c r="D2151" s="29">
        <f t="shared" si="70"/>
        <v>4.6915091550108201E-3</v>
      </c>
    </row>
    <row r="2152" spans="1:4" x14ac:dyDescent="0.3">
      <c r="A2152" s="26">
        <v>45273</v>
      </c>
      <c r="B2152" s="27">
        <v>332.91363525390619</v>
      </c>
      <c r="C2152" s="27">
        <f t="shared" si="69"/>
        <v>5.8078831027506119</v>
      </c>
      <c r="D2152" s="29">
        <f t="shared" si="70"/>
        <v>2.6774515393879206E-4</v>
      </c>
    </row>
    <row r="2153" spans="1:4" x14ac:dyDescent="0.3">
      <c r="A2153" s="26">
        <v>45274</v>
      </c>
      <c r="B2153" s="27">
        <v>331.35220336914063</v>
      </c>
      <c r="C2153" s="27">
        <f t="shared" si="69"/>
        <v>5.8031818681851028</v>
      </c>
      <c r="D2153" s="29">
        <f t="shared" si="70"/>
        <v>-8.0945750496985713E-4</v>
      </c>
    </row>
    <row r="2154" spans="1:4" x14ac:dyDescent="0.3">
      <c r="A2154" s="26">
        <v>45275</v>
      </c>
      <c r="B2154" s="27">
        <v>333.09262084960938</v>
      </c>
      <c r="C2154" s="27">
        <f t="shared" si="69"/>
        <v>5.8084205919960112</v>
      </c>
      <c r="D2154" s="29">
        <f t="shared" si="70"/>
        <v>9.0273300577203841E-4</v>
      </c>
    </row>
    <row r="2155" spans="1:4" x14ac:dyDescent="0.3">
      <c r="A2155" s="26">
        <v>45278</v>
      </c>
      <c r="B2155" s="27">
        <v>342.73971557617188</v>
      </c>
      <c r="C2155" s="27">
        <f t="shared" si="69"/>
        <v>5.836971312379327</v>
      </c>
      <c r="D2155" s="29">
        <f t="shared" si="70"/>
        <v>4.9154016881385321E-3</v>
      </c>
    </row>
    <row r="2156" spans="1:4" x14ac:dyDescent="0.3">
      <c r="A2156" s="26">
        <v>45279</v>
      </c>
      <c r="B2156" s="27">
        <v>348.4483642578125</v>
      </c>
      <c r="C2156" s="27">
        <f t="shared" si="69"/>
        <v>5.8534900535351895</v>
      </c>
      <c r="D2156" s="29">
        <f t="shared" si="70"/>
        <v>2.8300192465959828E-3</v>
      </c>
    </row>
    <row r="2157" spans="1:4" x14ac:dyDescent="0.3">
      <c r="A2157" s="26">
        <v>45280</v>
      </c>
      <c r="B2157" s="27">
        <v>347.374267578125</v>
      </c>
      <c r="C2157" s="27">
        <f t="shared" si="69"/>
        <v>5.8504027796131615</v>
      </c>
      <c r="D2157" s="29">
        <f t="shared" si="70"/>
        <v>-5.2742447561915373E-4</v>
      </c>
    </row>
    <row r="2158" spans="1:4" x14ac:dyDescent="0.3">
      <c r="A2158" s="26">
        <v>45281</v>
      </c>
      <c r="B2158" s="27">
        <v>352.15802001953119</v>
      </c>
      <c r="C2158" s="27">
        <f t="shared" si="69"/>
        <v>5.8640799953734639</v>
      </c>
      <c r="D2158" s="29">
        <f t="shared" si="70"/>
        <v>2.3378246379828216E-3</v>
      </c>
    </row>
    <row r="2159" spans="1:4" x14ac:dyDescent="0.3">
      <c r="A2159" s="26">
        <v>45282</v>
      </c>
      <c r="B2159" s="27">
        <v>351.46185302734381</v>
      </c>
      <c r="C2159" s="27">
        <f t="shared" si="69"/>
        <v>5.8621011791233233</v>
      </c>
      <c r="D2159" s="29">
        <f t="shared" si="70"/>
        <v>-3.3744700817550655E-4</v>
      </c>
    </row>
    <row r="2160" spans="1:4" x14ac:dyDescent="0.3">
      <c r="A2160" s="26">
        <v>45286</v>
      </c>
      <c r="B2160" s="27">
        <v>352.89401245117188</v>
      </c>
      <c r="C2160" s="27">
        <f t="shared" si="69"/>
        <v>5.8661677638361605</v>
      </c>
      <c r="D2160" s="29">
        <f t="shared" si="70"/>
        <v>6.937076977311385E-4</v>
      </c>
    </row>
    <row r="2161" spans="1:4" x14ac:dyDescent="0.3">
      <c r="A2161" s="26">
        <v>45287</v>
      </c>
      <c r="B2161" s="27">
        <v>355.87762451171881</v>
      </c>
      <c r="C2161" s="27">
        <f t="shared" si="69"/>
        <v>5.8745869203844077</v>
      </c>
      <c r="D2161" s="29">
        <f t="shared" si="70"/>
        <v>1.4352055527886431E-3</v>
      </c>
    </row>
    <row r="2162" spans="1:4" x14ac:dyDescent="0.3">
      <c r="A2162" s="26">
        <v>45288</v>
      </c>
      <c r="B2162" s="27">
        <v>356.36495971679688</v>
      </c>
      <c r="C2162" s="27">
        <f t="shared" si="69"/>
        <v>5.8759553734702541</v>
      </c>
      <c r="D2162" s="29">
        <f t="shared" si="70"/>
        <v>2.329445634889904E-4</v>
      </c>
    </row>
    <row r="2163" spans="1:4" x14ac:dyDescent="0.3">
      <c r="A2163" s="26">
        <v>45289</v>
      </c>
      <c r="B2163" s="27">
        <v>352.02874755859381</v>
      </c>
      <c r="C2163" s="27">
        <f t="shared" si="69"/>
        <v>5.8637128414638999</v>
      </c>
      <c r="D2163" s="29">
        <f t="shared" si="70"/>
        <v>-2.0834964236843279E-3</v>
      </c>
    </row>
    <row r="2164" spans="1:4" x14ac:dyDescent="0.3">
      <c r="A2164" s="26">
        <v>45293</v>
      </c>
      <c r="B2164" s="27">
        <v>344.40060424804688</v>
      </c>
      <c r="C2164" s="27">
        <f t="shared" si="69"/>
        <v>5.8418055270469464</v>
      </c>
      <c r="D2164" s="29">
        <f t="shared" si="70"/>
        <v>-3.7360824121606129E-3</v>
      </c>
    </row>
    <row r="2165" spans="1:4" x14ac:dyDescent="0.3">
      <c r="A2165" s="26">
        <v>45294</v>
      </c>
      <c r="B2165" s="27">
        <v>342.59054565429688</v>
      </c>
      <c r="C2165" s="27">
        <f t="shared" si="69"/>
        <v>5.8365359896373752</v>
      </c>
      <c r="D2165" s="29">
        <f t="shared" si="70"/>
        <v>-9.0203917011166812E-4</v>
      </c>
    </row>
    <row r="2166" spans="1:4" x14ac:dyDescent="0.3">
      <c r="A2166" s="26">
        <v>45295</v>
      </c>
      <c r="B2166" s="27">
        <v>345.22604370117188</v>
      </c>
      <c r="C2166" s="27">
        <f t="shared" si="69"/>
        <v>5.8441994016159491</v>
      </c>
      <c r="D2166" s="29">
        <f t="shared" si="70"/>
        <v>1.3130068917899251E-3</v>
      </c>
    </row>
    <row r="2167" spans="1:4" x14ac:dyDescent="0.3">
      <c r="A2167" s="26">
        <v>45296</v>
      </c>
      <c r="B2167" s="27">
        <v>350.02969360351563</v>
      </c>
      <c r="C2167" s="27">
        <f t="shared" si="69"/>
        <v>5.8580179897520335</v>
      </c>
      <c r="D2167" s="29">
        <f t="shared" si="70"/>
        <v>2.3644963469697799E-3</v>
      </c>
    </row>
    <row r="2168" spans="1:4" x14ac:dyDescent="0.3">
      <c r="A2168" s="26">
        <v>45299</v>
      </c>
      <c r="B2168" s="27">
        <v>356.70306396484381</v>
      </c>
      <c r="C2168" s="27">
        <f t="shared" si="69"/>
        <v>5.87690368208081</v>
      </c>
      <c r="D2168" s="29">
        <f t="shared" si="70"/>
        <v>3.2239048022411065E-3</v>
      </c>
    </row>
    <row r="2169" spans="1:4" x14ac:dyDescent="0.3">
      <c r="A2169" s="26">
        <v>45300</v>
      </c>
      <c r="B2169" s="27">
        <v>355.47982788085938</v>
      </c>
      <c r="C2169" s="27">
        <f t="shared" si="69"/>
        <v>5.873468504682184</v>
      </c>
      <c r="D2169" s="29">
        <f t="shared" si="70"/>
        <v>-5.8452164344635626E-4</v>
      </c>
    </row>
    <row r="2170" spans="1:4" x14ac:dyDescent="0.3">
      <c r="A2170" s="26">
        <v>45301</v>
      </c>
      <c r="B2170" s="27">
        <v>368.44869995117188</v>
      </c>
      <c r="C2170" s="27">
        <f t="shared" si="69"/>
        <v>5.9093014887800548</v>
      </c>
      <c r="D2170" s="29">
        <f t="shared" si="70"/>
        <v>6.1008216983382546E-3</v>
      </c>
    </row>
    <row r="2171" spans="1:4" x14ac:dyDescent="0.3">
      <c r="A2171" s="26">
        <v>45302</v>
      </c>
      <c r="B2171" s="27">
        <v>367.65304565429688</v>
      </c>
      <c r="C2171" s="27">
        <f t="shared" si="69"/>
        <v>5.9071396827213327</v>
      </c>
      <c r="D2171" s="29">
        <f t="shared" si="70"/>
        <v>-3.6583106528353948E-4</v>
      </c>
    </row>
    <row r="2172" spans="1:4" x14ac:dyDescent="0.3">
      <c r="A2172" s="26">
        <v>45303</v>
      </c>
      <c r="B2172" s="27">
        <v>372.44671630859381</v>
      </c>
      <c r="C2172" s="27">
        <f t="shared" si="69"/>
        <v>5.9200939841210598</v>
      </c>
      <c r="D2172" s="29">
        <f t="shared" si="70"/>
        <v>2.1929905327309207E-3</v>
      </c>
    </row>
    <row r="2173" spans="1:4" x14ac:dyDescent="0.3">
      <c r="A2173" s="26">
        <v>45307</v>
      </c>
      <c r="B2173" s="27">
        <v>365.45501708984381</v>
      </c>
      <c r="C2173" s="27">
        <f t="shared" si="69"/>
        <v>5.901143199358212</v>
      </c>
      <c r="D2173" s="29">
        <f t="shared" si="70"/>
        <v>-3.2010952551898564E-3</v>
      </c>
    </row>
    <row r="2174" spans="1:4" x14ac:dyDescent="0.3">
      <c r="A2174" s="26">
        <v>45308</v>
      </c>
      <c r="B2174" s="27">
        <v>366.36013793945313</v>
      </c>
      <c r="C2174" s="27">
        <f t="shared" si="69"/>
        <v>5.9036168330481269</v>
      </c>
      <c r="D2174" s="29">
        <f t="shared" si="70"/>
        <v>4.1917872628194353E-4</v>
      </c>
    </row>
    <row r="2175" spans="1:4" x14ac:dyDescent="0.3">
      <c r="A2175" s="26">
        <v>45309</v>
      </c>
      <c r="B2175" s="27">
        <v>374.07778930664063</v>
      </c>
      <c r="C2175" s="27">
        <f t="shared" si="69"/>
        <v>5.9244637685855333</v>
      </c>
      <c r="D2175" s="29">
        <f t="shared" si="70"/>
        <v>3.5312141907155592E-3</v>
      </c>
    </row>
    <row r="2176" spans="1:4" x14ac:dyDescent="0.3">
      <c r="A2176" s="26">
        <v>45310</v>
      </c>
      <c r="B2176" s="27">
        <v>381.35787963867188</v>
      </c>
      <c r="C2176" s="27">
        <f t="shared" si="69"/>
        <v>5.9437382508818262</v>
      </c>
      <c r="D2176" s="29">
        <f t="shared" si="70"/>
        <v>3.2533716213265507E-3</v>
      </c>
    </row>
    <row r="2177" spans="1:4" x14ac:dyDescent="0.3">
      <c r="A2177" s="26">
        <v>45313</v>
      </c>
      <c r="B2177" s="27">
        <v>379.69696044921881</v>
      </c>
      <c r="C2177" s="27">
        <f t="shared" si="69"/>
        <v>5.9393734620680245</v>
      </c>
      <c r="D2177" s="29">
        <f t="shared" si="70"/>
        <v>-7.3435077884764777E-4</v>
      </c>
    </row>
    <row r="2178" spans="1:4" x14ac:dyDescent="0.3">
      <c r="A2178" s="26">
        <v>45314</v>
      </c>
      <c r="B2178" s="27">
        <v>383.09832763671881</v>
      </c>
      <c r="C2178" s="27">
        <f t="shared" si="69"/>
        <v>5.9482916863530884</v>
      </c>
      <c r="D2178" s="29">
        <f t="shared" si="70"/>
        <v>1.5015429391702639E-3</v>
      </c>
    </row>
    <row r="2179" spans="1:4" x14ac:dyDescent="0.3">
      <c r="A2179" s="26">
        <v>45315</v>
      </c>
      <c r="B2179" s="27">
        <v>388.56829833984381</v>
      </c>
      <c r="C2179" s="27">
        <f t="shared" ref="C2179:C2242" si="71">LN(B2179)</f>
        <v>5.9624689544592329</v>
      </c>
      <c r="D2179" s="29">
        <f t="shared" si="70"/>
        <v>2.3834184424194049E-3</v>
      </c>
    </row>
    <row r="2180" spans="1:4" x14ac:dyDescent="0.3">
      <c r="A2180" s="26">
        <v>45316</v>
      </c>
      <c r="B2180" s="27">
        <v>391.03472900390619</v>
      </c>
      <c r="C2180" s="27">
        <f t="shared" si="71"/>
        <v>5.9687963770228736</v>
      </c>
      <c r="D2180" s="29">
        <f t="shared" ref="D2180:D2243" si="72">C2180/C2179-1</f>
        <v>1.0612084711834058E-3</v>
      </c>
    </row>
    <row r="2181" spans="1:4" x14ac:dyDescent="0.3">
      <c r="A2181" s="26">
        <v>45317</v>
      </c>
      <c r="B2181" s="27">
        <v>391.98953247070313</v>
      </c>
      <c r="C2181" s="27">
        <f t="shared" si="71"/>
        <v>5.9712351365530747</v>
      </c>
      <c r="D2181" s="29">
        <f t="shared" si="72"/>
        <v>4.0858480942485009E-4</v>
      </c>
    </row>
    <row r="2182" spans="1:4" x14ac:dyDescent="0.3">
      <c r="A2182" s="26">
        <v>45320</v>
      </c>
      <c r="B2182" s="27">
        <v>398.83197021484381</v>
      </c>
      <c r="C2182" s="27">
        <f t="shared" si="71"/>
        <v>5.9885402009097737</v>
      </c>
      <c r="D2182" s="29">
        <f t="shared" si="72"/>
        <v>2.8980711629935652E-3</v>
      </c>
    </row>
    <row r="2183" spans="1:4" x14ac:dyDescent="0.3">
      <c r="A2183" s="26">
        <v>45321</v>
      </c>
      <c r="B2183" s="27">
        <v>397.877197265625</v>
      </c>
      <c r="C2183" s="27">
        <f t="shared" si="71"/>
        <v>5.9861434080893643</v>
      </c>
      <c r="D2183" s="29">
        <f t="shared" si="72"/>
        <v>-4.0022989576748991E-4</v>
      </c>
    </row>
    <row r="2184" spans="1:4" x14ac:dyDescent="0.3">
      <c r="A2184" s="26">
        <v>45322</v>
      </c>
      <c r="B2184" s="27">
        <v>388.01132202148438</v>
      </c>
      <c r="C2184" s="27">
        <f t="shared" si="71"/>
        <v>5.961034519665275</v>
      </c>
      <c r="D2184" s="29">
        <f t="shared" si="72"/>
        <v>-4.1945016536286683E-3</v>
      </c>
    </row>
    <row r="2185" spans="1:4" x14ac:dyDescent="0.3">
      <c r="A2185" s="26">
        <v>45323</v>
      </c>
      <c r="B2185" s="27">
        <v>392.62600708007813</v>
      </c>
      <c r="C2185" s="27">
        <f t="shared" si="71"/>
        <v>5.9728575228477609</v>
      </c>
      <c r="D2185" s="29">
        <f t="shared" si="72"/>
        <v>1.9833810966003451E-3</v>
      </c>
    </row>
    <row r="2186" spans="1:4" x14ac:dyDescent="0.3">
      <c r="A2186" s="26">
        <v>45324</v>
      </c>
      <c r="B2186" s="27">
        <v>472.39837646484381</v>
      </c>
      <c r="C2186" s="27">
        <f t="shared" si="71"/>
        <v>6.1578226475367002</v>
      </c>
      <c r="D2186" s="29">
        <f t="shared" si="72"/>
        <v>3.0967610391072986E-2</v>
      </c>
    </row>
    <row r="2187" spans="1:4" x14ac:dyDescent="0.3">
      <c r="A2187" s="26">
        <v>45327</v>
      </c>
      <c r="B2187" s="27">
        <v>456.90341186523438</v>
      </c>
      <c r="C2187" s="27">
        <f t="shared" si="71"/>
        <v>6.1244720159636135</v>
      </c>
      <c r="D2187" s="29">
        <f t="shared" si="72"/>
        <v>-5.4159779327889179E-3</v>
      </c>
    </row>
    <row r="2188" spans="1:4" x14ac:dyDescent="0.3">
      <c r="A2188" s="26">
        <v>45328</v>
      </c>
      <c r="B2188" s="27">
        <v>452.239013671875</v>
      </c>
      <c r="C2188" s="27">
        <f t="shared" si="71"/>
        <v>6.1142108313808317</v>
      </c>
      <c r="D2188" s="29">
        <f t="shared" si="72"/>
        <v>-1.6754398674752036E-3</v>
      </c>
    </row>
    <row r="2189" spans="1:4" x14ac:dyDescent="0.3">
      <c r="A2189" s="26">
        <v>45329</v>
      </c>
      <c r="B2189" s="27">
        <v>467.02789306640619</v>
      </c>
      <c r="C2189" s="27">
        <f t="shared" si="71"/>
        <v>6.1463889840788291</v>
      </c>
      <c r="D2189" s="29">
        <f t="shared" si="72"/>
        <v>5.2628464384716356E-3</v>
      </c>
    </row>
    <row r="2190" spans="1:4" x14ac:dyDescent="0.3">
      <c r="A2190" s="26">
        <v>45330</v>
      </c>
      <c r="B2190" s="27">
        <v>467.43560791015619</v>
      </c>
      <c r="C2190" s="27">
        <f t="shared" si="71"/>
        <v>6.1472616021515423</v>
      </c>
      <c r="D2190" s="29">
        <f t="shared" si="72"/>
        <v>1.4197247765701526E-4</v>
      </c>
    </row>
    <row r="2191" spans="1:4" x14ac:dyDescent="0.3">
      <c r="A2191" s="26">
        <v>45331</v>
      </c>
      <c r="B2191" s="27">
        <v>465.55593872070313</v>
      </c>
      <c r="C2191" s="27">
        <f t="shared" si="71"/>
        <v>6.1432322586073882</v>
      </c>
      <c r="D2191" s="29">
        <f t="shared" si="72"/>
        <v>-6.554696716898345E-4</v>
      </c>
    </row>
    <row r="2192" spans="1:4" x14ac:dyDescent="0.3">
      <c r="A2192" s="26">
        <v>45334</v>
      </c>
      <c r="B2192" s="27">
        <v>466.34161376953119</v>
      </c>
      <c r="C2192" s="27">
        <f t="shared" si="71"/>
        <v>6.1449184423147765</v>
      </c>
      <c r="D2192" s="29">
        <f t="shared" si="72"/>
        <v>2.7447826102067197E-4</v>
      </c>
    </row>
    <row r="2193" spans="1:4" x14ac:dyDescent="0.3">
      <c r="A2193" s="26">
        <v>45335</v>
      </c>
      <c r="B2193" s="27">
        <v>457.6094970703125</v>
      </c>
      <c r="C2193" s="27">
        <f t="shared" si="71"/>
        <v>6.1260161939374465</v>
      </c>
      <c r="D2193" s="29">
        <f t="shared" si="72"/>
        <v>-3.0760779910709024E-3</v>
      </c>
    </row>
    <row r="2194" spans="1:4" x14ac:dyDescent="0.3">
      <c r="A2194" s="26">
        <v>45336</v>
      </c>
      <c r="B2194" s="27">
        <v>470.69769287109381</v>
      </c>
      <c r="C2194" s="27">
        <f t="shared" si="71"/>
        <v>6.1542160469102614</v>
      </c>
      <c r="D2194" s="29">
        <f t="shared" si="72"/>
        <v>4.6032938993407768E-3</v>
      </c>
    </row>
    <row r="2195" spans="1:4" x14ac:dyDescent="0.3">
      <c r="A2195" s="26">
        <v>45337</v>
      </c>
      <c r="B2195" s="27">
        <v>481.38909912109381</v>
      </c>
      <c r="C2195" s="27">
        <f t="shared" si="71"/>
        <v>6.1766758809735487</v>
      </c>
      <c r="D2195" s="29">
        <f t="shared" si="72"/>
        <v>3.6495036722936636E-3</v>
      </c>
    </row>
    <row r="2196" spans="1:4" x14ac:dyDescent="0.3">
      <c r="A2196" s="26">
        <v>45338</v>
      </c>
      <c r="B2196" s="27">
        <v>470.73745727539063</v>
      </c>
      <c r="C2196" s="27">
        <f t="shared" si="71"/>
        <v>6.1543005230514254</v>
      </c>
      <c r="D2196" s="29">
        <f t="shared" si="72"/>
        <v>-3.6225565908432067E-3</v>
      </c>
    </row>
    <row r="2197" spans="1:4" x14ac:dyDescent="0.3">
      <c r="A2197" s="26">
        <v>45342</v>
      </c>
      <c r="B2197" s="27">
        <v>469.17608642578119</v>
      </c>
      <c r="C2197" s="27">
        <f t="shared" si="71"/>
        <v>6.1509781487835031</v>
      </c>
      <c r="D2197" s="29">
        <f t="shared" si="72"/>
        <v>-5.3984595901324095E-4</v>
      </c>
    </row>
    <row r="2198" spans="1:4" x14ac:dyDescent="0.3">
      <c r="A2198" s="26">
        <v>45343</v>
      </c>
      <c r="B2198" s="27">
        <v>465.97024536132813</v>
      </c>
      <c r="C2198" s="27">
        <f t="shared" si="71"/>
        <v>6.1441217809311262</v>
      </c>
      <c r="D2198" s="29">
        <f t="shared" si="72"/>
        <v>-1.1146792732035227E-3</v>
      </c>
    </row>
    <row r="2199" spans="1:4" x14ac:dyDescent="0.3">
      <c r="A2199" s="26">
        <v>45344</v>
      </c>
      <c r="B2199" s="27">
        <v>483.9906005859375</v>
      </c>
      <c r="C2199" s="27">
        <f t="shared" si="71"/>
        <v>6.1820654862510667</v>
      </c>
      <c r="D2199" s="29">
        <f t="shared" si="72"/>
        <v>6.1756108802566434E-3</v>
      </c>
    </row>
    <row r="2200" spans="1:4" x14ac:dyDescent="0.3">
      <c r="A2200" s="26">
        <v>45345</v>
      </c>
      <c r="B2200" s="27">
        <v>481.89987182617188</v>
      </c>
      <c r="C2200" s="27">
        <f t="shared" si="71"/>
        <v>6.1777363576702644</v>
      </c>
      <c r="D2200" s="29">
        <f t="shared" si="72"/>
        <v>-7.0027219712087696E-4</v>
      </c>
    </row>
    <row r="2201" spans="1:4" x14ac:dyDescent="0.3">
      <c r="A2201" s="26">
        <v>45348</v>
      </c>
      <c r="B2201" s="27">
        <v>479.619873046875</v>
      </c>
      <c r="C2201" s="27">
        <f t="shared" si="71"/>
        <v>6.172993859006465</v>
      </c>
      <c r="D2201" s="29">
        <f t="shared" si="72"/>
        <v>-7.676757940489054E-4</v>
      </c>
    </row>
    <row r="2202" spans="1:4" x14ac:dyDescent="0.3">
      <c r="A2202" s="26">
        <v>45349</v>
      </c>
      <c r="B2202" s="27">
        <v>484.90655517578119</v>
      </c>
      <c r="C2202" s="27">
        <f t="shared" si="71"/>
        <v>6.1839562026336266</v>
      </c>
      <c r="D2202" s="29">
        <f t="shared" si="72"/>
        <v>1.7758552620568135E-3</v>
      </c>
    </row>
    <row r="2203" spans="1:4" x14ac:dyDescent="0.3">
      <c r="A2203" s="26">
        <v>45350</v>
      </c>
      <c r="B2203" s="27">
        <v>481.88986206054688</v>
      </c>
      <c r="C2203" s="27">
        <f t="shared" si="71"/>
        <v>6.1777155859909794</v>
      </c>
      <c r="D2203" s="29">
        <f t="shared" si="72"/>
        <v>-1.0091624905088636E-3</v>
      </c>
    </row>
    <row r="2204" spans="1:4" x14ac:dyDescent="0.3">
      <c r="A2204" s="26">
        <v>45351</v>
      </c>
      <c r="B2204" s="27">
        <v>487.97299194335938</v>
      </c>
      <c r="C2204" s="27">
        <f t="shared" si="71"/>
        <v>6.1902600599432285</v>
      </c>
      <c r="D2204" s="29">
        <f t="shared" si="72"/>
        <v>2.030600758101464E-3</v>
      </c>
    </row>
    <row r="2205" spans="1:4" x14ac:dyDescent="0.3">
      <c r="A2205" s="26">
        <v>45352</v>
      </c>
      <c r="B2205" s="27">
        <v>500.08941650390619</v>
      </c>
      <c r="C2205" s="27">
        <f t="shared" si="71"/>
        <v>6.2147869154412883</v>
      </c>
      <c r="D2205" s="29">
        <f t="shared" si="72"/>
        <v>3.9621688362936336E-3</v>
      </c>
    </row>
    <row r="2206" spans="1:4" x14ac:dyDescent="0.3">
      <c r="A2206" s="26">
        <v>45355</v>
      </c>
      <c r="B2206" s="27">
        <v>495.99752807617188</v>
      </c>
      <c r="C2206" s="27">
        <f t="shared" si="71"/>
        <v>6.2065709429951132</v>
      </c>
      <c r="D2206" s="29">
        <f t="shared" si="72"/>
        <v>-1.322003884921874E-3</v>
      </c>
    </row>
    <row r="2207" spans="1:4" x14ac:dyDescent="0.3">
      <c r="A2207" s="26">
        <v>45356</v>
      </c>
      <c r="B2207" s="27">
        <v>488.06259155273438</v>
      </c>
      <c r="C2207" s="27">
        <f t="shared" si="71"/>
        <v>6.1904436590069141</v>
      </c>
      <c r="D2207" s="29">
        <f t="shared" si="72"/>
        <v>-2.5984209535864222E-3</v>
      </c>
    </row>
    <row r="2208" spans="1:4" x14ac:dyDescent="0.3">
      <c r="A2208" s="26">
        <v>45357</v>
      </c>
      <c r="B2208" s="27">
        <v>493.90676879882813</v>
      </c>
      <c r="C2208" s="27">
        <f t="shared" si="71"/>
        <v>6.2023467722488386</v>
      </c>
      <c r="D2208" s="29">
        <f t="shared" si="72"/>
        <v>1.9228207052019997E-3</v>
      </c>
    </row>
    <row r="2209" spans="1:4" x14ac:dyDescent="0.3">
      <c r="A2209" s="26">
        <v>45358</v>
      </c>
      <c r="B2209" s="27">
        <v>509.93588256835938</v>
      </c>
      <c r="C2209" s="27">
        <f t="shared" si="71"/>
        <v>6.2342849973606951</v>
      </c>
      <c r="D2209" s="29">
        <f t="shared" si="72"/>
        <v>5.1493775315429868E-3</v>
      </c>
    </row>
    <row r="2210" spans="1:4" x14ac:dyDescent="0.3">
      <c r="A2210" s="26">
        <v>45359</v>
      </c>
      <c r="B2210" s="27">
        <v>503.723388671875</v>
      </c>
      <c r="C2210" s="27">
        <f t="shared" si="71"/>
        <v>6.2220272854077097</v>
      </c>
      <c r="D2210" s="29">
        <f t="shared" si="72"/>
        <v>-1.9661776704424927E-3</v>
      </c>
    </row>
    <row r="2211" spans="1:4" x14ac:dyDescent="0.3">
      <c r="A2211" s="26">
        <v>45362</v>
      </c>
      <c r="B2211" s="27">
        <v>481.46173095703119</v>
      </c>
      <c r="C2211" s="27">
        <f t="shared" si="71"/>
        <v>6.1768267492779758</v>
      </c>
      <c r="D2211" s="29">
        <f t="shared" si="72"/>
        <v>-7.2645994715807571E-3</v>
      </c>
    </row>
    <row r="2212" spans="1:4" x14ac:dyDescent="0.3">
      <c r="A2212" s="26">
        <v>45363</v>
      </c>
      <c r="B2212" s="27">
        <v>497.5506591796875</v>
      </c>
      <c r="C2212" s="27">
        <f t="shared" si="71"/>
        <v>6.2096973789114394</v>
      </c>
      <c r="D2212" s="29">
        <f t="shared" si="72"/>
        <v>5.3216045985595706E-3</v>
      </c>
    </row>
    <row r="2213" spans="1:4" x14ac:dyDescent="0.3">
      <c r="A2213" s="26">
        <v>45364</v>
      </c>
      <c r="B2213" s="27">
        <v>493.38906860351563</v>
      </c>
      <c r="C2213" s="27">
        <f t="shared" si="71"/>
        <v>6.2012980486076597</v>
      </c>
      <c r="D2213" s="29">
        <f t="shared" si="72"/>
        <v>-1.3526150778787605E-3</v>
      </c>
    </row>
    <row r="2214" spans="1:4" x14ac:dyDescent="0.3">
      <c r="A2214" s="26">
        <v>45365</v>
      </c>
      <c r="B2214" s="27">
        <v>489.66549682617188</v>
      </c>
      <c r="C2214" s="27">
        <f t="shared" si="71"/>
        <v>6.1937224984481256</v>
      </c>
      <c r="D2214" s="29">
        <f t="shared" si="72"/>
        <v>-1.2216071700077435E-3</v>
      </c>
    </row>
    <row r="2215" spans="1:4" x14ac:dyDescent="0.3">
      <c r="A2215" s="26">
        <v>45366</v>
      </c>
      <c r="B2215" s="27">
        <v>481.96951293945313</v>
      </c>
      <c r="C2215" s="27">
        <f t="shared" si="71"/>
        <v>6.1778808608872007</v>
      </c>
      <c r="D2215" s="29">
        <f t="shared" si="72"/>
        <v>-2.5576924967003478E-3</v>
      </c>
    </row>
    <row r="2216" spans="1:4" x14ac:dyDescent="0.3">
      <c r="A2216" s="26">
        <v>45369</v>
      </c>
      <c r="B2216" s="27">
        <v>494.79281616210938</v>
      </c>
      <c r="C2216" s="27">
        <f t="shared" si="71"/>
        <v>6.2041391217429869</v>
      </c>
      <c r="D2216" s="29">
        <f t="shared" si="72"/>
        <v>4.2503669861990723E-3</v>
      </c>
    </row>
    <row r="2217" spans="1:4" x14ac:dyDescent="0.3">
      <c r="A2217" s="26">
        <v>45370</v>
      </c>
      <c r="B2217" s="27">
        <v>494.05606079101563</v>
      </c>
      <c r="C2217" s="27">
        <f t="shared" si="71"/>
        <v>6.2026489941317937</v>
      </c>
      <c r="D2217" s="29">
        <f t="shared" si="72"/>
        <v>-2.4018281697957278E-4</v>
      </c>
    </row>
    <row r="2218" spans="1:4" x14ac:dyDescent="0.3">
      <c r="A2218" s="26">
        <v>45371</v>
      </c>
      <c r="B2218" s="27">
        <v>503.29522705078119</v>
      </c>
      <c r="C2218" s="27">
        <f t="shared" si="71"/>
        <v>6.2211769304287463</v>
      </c>
      <c r="D2218" s="29">
        <f t="shared" si="72"/>
        <v>2.9871005621115998E-3</v>
      </c>
    </row>
    <row r="2219" spans="1:4" x14ac:dyDescent="0.3">
      <c r="A2219" s="26">
        <v>45372</v>
      </c>
      <c r="B2219" s="27">
        <v>505.525390625</v>
      </c>
      <c r="C2219" s="27">
        <f t="shared" si="71"/>
        <v>6.2255982659330327</v>
      </c>
      <c r="D2219" s="29">
        <f t="shared" si="72"/>
        <v>7.1069116884636685E-4</v>
      </c>
    </row>
    <row r="2220" spans="1:4" x14ac:dyDescent="0.3">
      <c r="A2220" s="26">
        <v>45373</v>
      </c>
      <c r="B2220" s="27">
        <v>507.33737182617188</v>
      </c>
      <c r="C2220" s="27">
        <f t="shared" si="71"/>
        <v>6.2291762099573944</v>
      </c>
      <c r="D2220" s="29">
        <f t="shared" si="72"/>
        <v>5.7471489028459999E-4</v>
      </c>
    </row>
    <row r="2221" spans="1:4" x14ac:dyDescent="0.3">
      <c r="A2221" s="26">
        <v>45376</v>
      </c>
      <c r="B2221" s="27">
        <v>500.80624389648438</v>
      </c>
      <c r="C2221" s="27">
        <f t="shared" si="71"/>
        <v>6.2162192875525832</v>
      </c>
      <c r="D2221" s="29">
        <f t="shared" si="72"/>
        <v>-2.0800378682657161E-3</v>
      </c>
    </row>
    <row r="2222" spans="1:4" x14ac:dyDescent="0.3">
      <c r="A2222" s="26">
        <v>45377</v>
      </c>
      <c r="B2222" s="27">
        <v>493.7076416015625</v>
      </c>
      <c r="C2222" s="27">
        <f t="shared" si="71"/>
        <v>6.2019435233738385</v>
      </c>
      <c r="D2222" s="29">
        <f t="shared" si="72"/>
        <v>-2.29653484189829E-3</v>
      </c>
    </row>
    <row r="2223" spans="1:4" x14ac:dyDescent="0.3">
      <c r="A2223" s="26">
        <v>45378</v>
      </c>
      <c r="B2223" s="27">
        <v>491.6865234375</v>
      </c>
      <c r="C2223" s="27">
        <f t="shared" si="71"/>
        <v>6.1978413659428337</v>
      </c>
      <c r="D2223" s="29">
        <f t="shared" si="72"/>
        <v>-6.6143095556170373E-4</v>
      </c>
    </row>
    <row r="2224" spans="1:4" x14ac:dyDescent="0.3">
      <c r="A2224" s="26">
        <v>45379</v>
      </c>
      <c r="B2224" s="27">
        <v>483.4429931640625</v>
      </c>
      <c r="C2224" s="27">
        <f t="shared" si="71"/>
        <v>6.180933403420994</v>
      </c>
      <c r="D2224" s="29">
        <f t="shared" si="72"/>
        <v>-2.7280405424296994E-3</v>
      </c>
    </row>
    <row r="2225" spans="1:4" x14ac:dyDescent="0.3">
      <c r="A2225" s="26">
        <v>45383</v>
      </c>
      <c r="B2225" s="27">
        <v>489.1876220703125</v>
      </c>
      <c r="C2225" s="27">
        <f t="shared" si="71"/>
        <v>6.1927461011018856</v>
      </c>
      <c r="D2225" s="29">
        <f t="shared" si="72"/>
        <v>1.9111511012808169E-3</v>
      </c>
    </row>
    <row r="2226" spans="1:4" x14ac:dyDescent="0.3">
      <c r="A2226" s="26">
        <v>45384</v>
      </c>
      <c r="B2226" s="27">
        <v>495.18112182617188</v>
      </c>
      <c r="C2226" s="27">
        <f t="shared" si="71"/>
        <v>6.2049235983217654</v>
      </c>
      <c r="D2226" s="29">
        <f t="shared" si="72"/>
        <v>1.9664131261110107E-3</v>
      </c>
    </row>
    <row r="2227" spans="1:4" x14ac:dyDescent="0.3">
      <c r="A2227" s="26">
        <v>45385</v>
      </c>
      <c r="B2227" s="27">
        <v>504.5098876953125</v>
      </c>
      <c r="C2227" s="27">
        <f t="shared" si="71"/>
        <v>6.2235874386012338</v>
      </c>
      <c r="D2227" s="29">
        <f t="shared" si="72"/>
        <v>3.0079081528926466E-3</v>
      </c>
    </row>
    <row r="2228" spans="1:4" x14ac:dyDescent="0.3">
      <c r="A2228" s="26">
        <v>45386</v>
      </c>
      <c r="B2228" s="27">
        <v>508.6715087890625</v>
      </c>
      <c r="C2228" s="27">
        <f t="shared" si="71"/>
        <v>6.231802442375538</v>
      </c>
      <c r="D2228" s="29">
        <f t="shared" si="72"/>
        <v>1.3199788474653751E-3</v>
      </c>
    </row>
    <row r="2229" spans="1:4" x14ac:dyDescent="0.3">
      <c r="A2229" s="26">
        <v>45387</v>
      </c>
      <c r="B2229" s="27">
        <v>525.01922607421875</v>
      </c>
      <c r="C2229" s="27">
        <f t="shared" si="71"/>
        <v>6.2634348830148383</v>
      </c>
      <c r="D2229" s="29">
        <f t="shared" si="72"/>
        <v>5.0759697425906136E-3</v>
      </c>
    </row>
    <row r="2230" spans="1:4" x14ac:dyDescent="0.3">
      <c r="A2230" s="26">
        <v>45390</v>
      </c>
      <c r="B2230" s="27">
        <v>516.96484375</v>
      </c>
      <c r="C2230" s="27">
        <f t="shared" si="71"/>
        <v>6.2479748717127324</v>
      </c>
      <c r="D2230" s="29">
        <f t="shared" si="72"/>
        <v>-2.4682960054442926E-3</v>
      </c>
    </row>
    <row r="2231" spans="1:4" x14ac:dyDescent="0.3">
      <c r="A2231" s="26">
        <v>45391</v>
      </c>
      <c r="B2231" s="27">
        <v>514.625244140625</v>
      </c>
      <c r="C2231" s="27">
        <f t="shared" si="71"/>
        <v>6.243438954494863</v>
      </c>
      <c r="D2231" s="29">
        <f t="shared" si="72"/>
        <v>-7.2598198792461766E-4</v>
      </c>
    </row>
    <row r="2232" spans="1:4" x14ac:dyDescent="0.3">
      <c r="A2232" s="26">
        <v>45392</v>
      </c>
      <c r="B2232" s="27">
        <v>517.54229736328125</v>
      </c>
      <c r="C2232" s="27">
        <f t="shared" si="71"/>
        <v>6.2490912558348057</v>
      </c>
      <c r="D2232" s="29">
        <f t="shared" si="72"/>
        <v>9.0531858822351374E-4</v>
      </c>
    </row>
    <row r="2233" spans="1:4" x14ac:dyDescent="0.3">
      <c r="A2233" s="26">
        <v>45393</v>
      </c>
      <c r="B2233" s="27">
        <v>520.85760498046875</v>
      </c>
      <c r="C2233" s="27">
        <f t="shared" si="71"/>
        <v>6.2554766934191282</v>
      </c>
      <c r="D2233" s="29">
        <f t="shared" si="72"/>
        <v>1.021818584959977E-3</v>
      </c>
    </row>
    <row r="2234" spans="1:4" x14ac:dyDescent="0.3">
      <c r="A2234" s="26">
        <v>45394</v>
      </c>
      <c r="B2234" s="27">
        <v>509.64715576171881</v>
      </c>
      <c r="C2234" s="27">
        <f t="shared" si="71"/>
        <v>6.2337186348311047</v>
      </c>
      <c r="D2234" s="29">
        <f t="shared" si="72"/>
        <v>-3.4782414921173954E-3</v>
      </c>
    </row>
    <row r="2235" spans="1:4" x14ac:dyDescent="0.3">
      <c r="A2235" s="26">
        <v>45397</v>
      </c>
      <c r="B2235" s="27">
        <v>498.028564453125</v>
      </c>
      <c r="C2235" s="27">
        <f t="shared" si="71"/>
        <v>6.2106574337193345</v>
      </c>
      <c r="D2235" s="29">
        <f t="shared" si="72"/>
        <v>-3.6994292592731348E-3</v>
      </c>
    </row>
    <row r="2236" spans="1:4" x14ac:dyDescent="0.3">
      <c r="A2236" s="26">
        <v>45398</v>
      </c>
      <c r="B2236" s="27">
        <v>497.56060791015619</v>
      </c>
      <c r="C2236" s="27">
        <f t="shared" si="71"/>
        <v>6.2097173741236293</v>
      </c>
      <c r="D2236" s="29">
        <f t="shared" si="72"/>
        <v>-1.5136233252877052E-4</v>
      </c>
    </row>
    <row r="2237" spans="1:4" x14ac:dyDescent="0.3">
      <c r="A2237" s="26">
        <v>45399</v>
      </c>
      <c r="B2237" s="27">
        <v>491.99520874023438</v>
      </c>
      <c r="C2237" s="27">
        <f t="shared" si="71"/>
        <v>6.1984689781120332</v>
      </c>
      <c r="D2237" s="29">
        <f t="shared" si="72"/>
        <v>-1.8114183518993521E-3</v>
      </c>
    </row>
    <row r="2238" spans="1:4" x14ac:dyDescent="0.3">
      <c r="A2238" s="26">
        <v>45400</v>
      </c>
      <c r="B2238" s="27">
        <v>499.59158325195313</v>
      </c>
      <c r="C2238" s="27">
        <f t="shared" si="71"/>
        <v>6.2137909311358381</v>
      </c>
      <c r="D2238" s="29">
        <f t="shared" si="72"/>
        <v>2.4718931526332977E-3</v>
      </c>
    </row>
    <row r="2239" spans="1:4" x14ac:dyDescent="0.3">
      <c r="A2239" s="26">
        <v>45401</v>
      </c>
      <c r="B2239" s="27">
        <v>478.952880859375</v>
      </c>
      <c r="C2239" s="27">
        <f t="shared" si="71"/>
        <v>6.1716022227588745</v>
      </c>
      <c r="D2239" s="29">
        <f t="shared" si="72"/>
        <v>-6.7895281390247808E-3</v>
      </c>
    </row>
    <row r="2240" spans="1:4" x14ac:dyDescent="0.3">
      <c r="A2240" s="26">
        <v>45404</v>
      </c>
      <c r="B2240" s="27">
        <v>479.60995483398438</v>
      </c>
      <c r="C2240" s="27">
        <f t="shared" si="71"/>
        <v>6.1729731794725247</v>
      </c>
      <c r="D2240" s="29">
        <f t="shared" si="72"/>
        <v>2.2213951323601933E-4</v>
      </c>
    </row>
    <row r="2241" spans="1:4" x14ac:dyDescent="0.3">
      <c r="A2241" s="26">
        <v>45405</v>
      </c>
      <c r="B2241" s="27">
        <v>493.916748046875</v>
      </c>
      <c r="C2241" s="27">
        <f t="shared" si="71"/>
        <v>6.2023669767648828</v>
      </c>
      <c r="D2241" s="29">
        <f t="shared" si="72"/>
        <v>4.7616920465658463E-3</v>
      </c>
    </row>
    <row r="2242" spans="1:4" x14ac:dyDescent="0.3">
      <c r="A2242" s="26">
        <v>45406</v>
      </c>
      <c r="B2242" s="27">
        <v>491.32815551757813</v>
      </c>
      <c r="C2242" s="27">
        <f t="shared" si="71"/>
        <v>6.1971122457303487</v>
      </c>
      <c r="D2242" s="29">
        <f t="shared" si="72"/>
        <v>-8.4721382243568844E-4</v>
      </c>
    </row>
    <row r="2243" spans="1:4" x14ac:dyDescent="0.3">
      <c r="A2243" s="26">
        <v>45407</v>
      </c>
      <c r="B2243" s="27">
        <v>439.4375</v>
      </c>
      <c r="C2243" s="27">
        <f t="shared" ref="C2243:C2306" si="73">LN(B2243)</f>
        <v>6.0854954999593804</v>
      </c>
      <c r="D2243" s="29">
        <f t="shared" si="72"/>
        <v>-1.8011089898826604E-2</v>
      </c>
    </row>
    <row r="2244" spans="1:4" x14ac:dyDescent="0.3">
      <c r="A2244" s="26">
        <v>45408</v>
      </c>
      <c r="B2244" s="27">
        <v>441.339111328125</v>
      </c>
      <c r="C2244" s="27">
        <f t="shared" si="73"/>
        <v>6.0898135398763564</v>
      </c>
      <c r="D2244" s="29">
        <f t="shared" ref="D2244:D2307" si="74">C2244/C2243-1</f>
        <v>7.0956258483878543E-4</v>
      </c>
    </row>
    <row r="2245" spans="1:4" x14ac:dyDescent="0.3">
      <c r="A2245" s="26">
        <v>45411</v>
      </c>
      <c r="B2245" s="27">
        <v>430.716064453125</v>
      </c>
      <c r="C2245" s="27">
        <f t="shared" si="73"/>
        <v>6.0654490898393609</v>
      </c>
      <c r="D2245" s="29">
        <f t="shared" si="74"/>
        <v>-4.0008532079769399E-3</v>
      </c>
    </row>
    <row r="2246" spans="1:4" x14ac:dyDescent="0.3">
      <c r="A2246" s="26">
        <v>45412</v>
      </c>
      <c r="B2246" s="27">
        <v>428.27688598632813</v>
      </c>
      <c r="C2246" s="27">
        <f t="shared" si="73"/>
        <v>6.059769916287471</v>
      </c>
      <c r="D2246" s="29">
        <f t="shared" si="74"/>
        <v>-9.3631542656968936E-4</v>
      </c>
    </row>
    <row r="2247" spans="1:4" x14ac:dyDescent="0.3">
      <c r="A2247" s="26">
        <v>45413</v>
      </c>
      <c r="B2247" s="27">
        <v>437.25717163085938</v>
      </c>
      <c r="C2247" s="27">
        <f t="shared" si="73"/>
        <v>6.080521515435696</v>
      </c>
      <c r="D2247" s="29">
        <f t="shared" si="74"/>
        <v>3.4244863146450921E-3</v>
      </c>
    </row>
    <row r="2248" spans="1:4" x14ac:dyDescent="0.3">
      <c r="A2248" s="26">
        <v>45414</v>
      </c>
      <c r="B2248" s="27">
        <v>439.7362060546875</v>
      </c>
      <c r="C2248" s="27">
        <f t="shared" si="73"/>
        <v>6.0861750154274246</v>
      </c>
      <c r="D2248" s="29">
        <f t="shared" si="74"/>
        <v>9.2977222058610032E-4</v>
      </c>
    </row>
    <row r="2249" spans="1:4" x14ac:dyDescent="0.3">
      <c r="A2249" s="26">
        <v>45415</v>
      </c>
      <c r="B2249" s="27">
        <v>449.97097778320313</v>
      </c>
      <c r="C2249" s="27">
        <f t="shared" si="73"/>
        <v>6.1091830868694457</v>
      </c>
      <c r="D2249" s="29">
        <f t="shared" si="74"/>
        <v>3.7803828157585428E-3</v>
      </c>
    </row>
    <row r="2250" spans="1:4" x14ac:dyDescent="0.3">
      <c r="A2250" s="26">
        <v>45418</v>
      </c>
      <c r="B2250" s="27">
        <v>463.63058471679688</v>
      </c>
      <c r="C2250" s="27">
        <f t="shared" si="73"/>
        <v>6.1390880815000459</v>
      </c>
      <c r="D2250" s="29">
        <f t="shared" si="74"/>
        <v>4.8950889513976747E-3</v>
      </c>
    </row>
    <row r="2251" spans="1:4" x14ac:dyDescent="0.3">
      <c r="A2251" s="26">
        <v>45419</v>
      </c>
      <c r="B2251" s="27">
        <v>466.17929077148438</v>
      </c>
      <c r="C2251" s="27">
        <f t="shared" si="73"/>
        <v>6.1445703042754127</v>
      </c>
      <c r="D2251" s="29">
        <f t="shared" si="74"/>
        <v>8.9300278845771963E-4</v>
      </c>
    </row>
    <row r="2252" spans="1:4" x14ac:dyDescent="0.3">
      <c r="A2252" s="26">
        <v>45420</v>
      </c>
      <c r="B2252" s="27">
        <v>470.5201416015625</v>
      </c>
      <c r="C2252" s="27">
        <f t="shared" si="73"/>
        <v>6.1538387670391526</v>
      </c>
      <c r="D2252" s="29">
        <f t="shared" si="74"/>
        <v>1.5083988472377463E-3</v>
      </c>
    </row>
    <row r="2253" spans="1:4" x14ac:dyDescent="0.3">
      <c r="A2253" s="26">
        <v>45421</v>
      </c>
      <c r="B2253" s="27">
        <v>473.3277587890625</v>
      </c>
      <c r="C2253" s="27">
        <f t="shared" si="73"/>
        <v>6.1597880846516393</v>
      </c>
      <c r="D2253" s="29">
        <f t="shared" si="74"/>
        <v>9.6676527249162092E-4</v>
      </c>
    </row>
    <row r="2254" spans="1:4" x14ac:dyDescent="0.3">
      <c r="A2254" s="26">
        <v>45422</v>
      </c>
      <c r="B2254" s="27">
        <v>474.10427856445313</v>
      </c>
      <c r="C2254" s="27">
        <f t="shared" si="73"/>
        <v>6.1614272944707116</v>
      </c>
      <c r="D2254" s="29">
        <f t="shared" si="74"/>
        <v>2.6611464494319392E-4</v>
      </c>
    </row>
    <row r="2255" spans="1:4" x14ac:dyDescent="0.3">
      <c r="A2255" s="26">
        <v>45425</v>
      </c>
      <c r="B2255" s="27">
        <v>465.95034790039063</v>
      </c>
      <c r="C2255" s="27">
        <f t="shared" si="73"/>
        <v>6.1440790788788604</v>
      </c>
      <c r="D2255" s="29">
        <f t="shared" si="74"/>
        <v>-2.8156163763255471E-3</v>
      </c>
    </row>
    <row r="2256" spans="1:4" x14ac:dyDescent="0.3">
      <c r="A2256" s="26">
        <v>45426</v>
      </c>
      <c r="B2256" s="27">
        <v>469.7734375</v>
      </c>
      <c r="C2256" s="27">
        <f t="shared" si="73"/>
        <v>6.1522505306093365</v>
      </c>
      <c r="D2256" s="29">
        <f t="shared" si="74"/>
        <v>1.3299717704751135E-3</v>
      </c>
    </row>
    <row r="2257" spans="1:4" x14ac:dyDescent="0.3">
      <c r="A2257" s="26">
        <v>45427</v>
      </c>
      <c r="B2257" s="27">
        <v>479.4207763671875</v>
      </c>
      <c r="C2257" s="27">
        <f t="shared" si="73"/>
        <v>6.1725786593323546</v>
      </c>
      <c r="D2257" s="29">
        <f t="shared" si="74"/>
        <v>3.3041776536699707E-3</v>
      </c>
    </row>
    <row r="2258" spans="1:4" x14ac:dyDescent="0.3">
      <c r="A2258" s="26">
        <v>45428</v>
      </c>
      <c r="B2258" s="27">
        <v>471.14739990234381</v>
      </c>
      <c r="C2258" s="27">
        <f t="shared" si="73"/>
        <v>6.15517099601787</v>
      </c>
      <c r="D2258" s="29">
        <f t="shared" si="74"/>
        <v>-2.8201606290048087E-3</v>
      </c>
    </row>
    <row r="2259" spans="1:4" x14ac:dyDescent="0.3">
      <c r="A2259" s="26">
        <v>45429</v>
      </c>
      <c r="B2259" s="27">
        <v>469.8331298828125</v>
      </c>
      <c r="C2259" s="27">
        <f t="shared" si="73"/>
        <v>6.1523775888589594</v>
      </c>
      <c r="D2259" s="29">
        <f t="shared" si="74"/>
        <v>-4.5383095948392516E-4</v>
      </c>
    </row>
    <row r="2260" spans="1:4" x14ac:dyDescent="0.3">
      <c r="A2260" s="26">
        <v>45432</v>
      </c>
      <c r="B2260" s="27">
        <v>466.77667236328119</v>
      </c>
      <c r="C2260" s="27">
        <f t="shared" si="73"/>
        <v>6.1458509256488618</v>
      </c>
      <c r="D2260" s="29">
        <f t="shared" si="74"/>
        <v>-1.060835931448123E-3</v>
      </c>
    </row>
    <row r="2261" spans="1:4" x14ac:dyDescent="0.3">
      <c r="A2261" s="26">
        <v>45433</v>
      </c>
      <c r="B2261" s="27">
        <v>462.58517456054688</v>
      </c>
      <c r="C2261" s="27">
        <f t="shared" si="73"/>
        <v>6.1368307012088792</v>
      </c>
      <c r="D2261" s="29">
        <f t="shared" si="74"/>
        <v>-1.4676933347566035E-3</v>
      </c>
    </row>
    <row r="2262" spans="1:4" x14ac:dyDescent="0.3">
      <c r="A2262" s="26">
        <v>45434</v>
      </c>
      <c r="B2262" s="27">
        <v>465.7213134765625</v>
      </c>
      <c r="C2262" s="27">
        <f t="shared" si="73"/>
        <v>6.14358741547868</v>
      </c>
      <c r="D2262" s="29">
        <f t="shared" si="74"/>
        <v>1.1010103746986744E-3</v>
      </c>
    </row>
    <row r="2263" spans="1:4" x14ac:dyDescent="0.3">
      <c r="A2263" s="26">
        <v>45435</v>
      </c>
      <c r="B2263" s="27">
        <v>463.73013305664063</v>
      </c>
      <c r="C2263" s="27">
        <f t="shared" si="73"/>
        <v>6.1393027732339487</v>
      </c>
      <c r="D2263" s="29">
        <f t="shared" si="74"/>
        <v>-6.9741699026470982E-4</v>
      </c>
    </row>
    <row r="2264" spans="1:4" x14ac:dyDescent="0.3">
      <c r="A2264" s="26">
        <v>45436</v>
      </c>
      <c r="B2264" s="27">
        <v>476.11541748046881</v>
      </c>
      <c r="C2264" s="27">
        <f t="shared" si="73"/>
        <v>6.1656602985378877</v>
      </c>
      <c r="D2264" s="29">
        <f t="shared" si="74"/>
        <v>4.2932440828382656E-3</v>
      </c>
    </row>
    <row r="2265" spans="1:4" x14ac:dyDescent="0.3">
      <c r="A2265" s="26">
        <v>45440</v>
      </c>
      <c r="B2265" s="27">
        <v>477.80792236328119</v>
      </c>
      <c r="C2265" s="27">
        <f t="shared" si="73"/>
        <v>6.1692088156736302</v>
      </c>
      <c r="D2265" s="29">
        <f t="shared" si="74"/>
        <v>5.7552913458169819E-4</v>
      </c>
    </row>
    <row r="2266" spans="1:4" x14ac:dyDescent="0.3">
      <c r="A2266" s="26">
        <v>45441</v>
      </c>
      <c r="B2266" s="27">
        <v>472.27236938476563</v>
      </c>
      <c r="C2266" s="27">
        <f t="shared" si="73"/>
        <v>6.1575558729353288</v>
      </c>
      <c r="D2266" s="29">
        <f t="shared" si="74"/>
        <v>-1.8888877142066995E-3</v>
      </c>
    </row>
    <row r="2267" spans="1:4" x14ac:dyDescent="0.3">
      <c r="A2267" s="26">
        <v>45442</v>
      </c>
      <c r="B2267" s="27">
        <v>464.99456787109381</v>
      </c>
      <c r="C2267" s="27">
        <f t="shared" si="73"/>
        <v>6.1420257235214732</v>
      </c>
      <c r="D2267" s="29">
        <f t="shared" si="74"/>
        <v>-2.5221288664413199E-3</v>
      </c>
    </row>
    <row r="2268" spans="1:4" x14ac:dyDescent="0.3">
      <c r="A2268" s="26">
        <v>45443</v>
      </c>
      <c r="B2268" s="27">
        <v>464.7755126953125</v>
      </c>
      <c r="C2268" s="27">
        <f t="shared" si="73"/>
        <v>6.1415545206199971</v>
      </c>
      <c r="D2268" s="29">
        <f t="shared" si="74"/>
        <v>-7.6717832631634231E-5</v>
      </c>
    </row>
    <row r="2269" spans="1:4" x14ac:dyDescent="0.3">
      <c r="A2269" s="26">
        <v>45446</v>
      </c>
      <c r="B2269" s="27">
        <v>475.38858032226563</v>
      </c>
      <c r="C2269" s="27">
        <f t="shared" si="73"/>
        <v>6.1641325334391484</v>
      </c>
      <c r="D2269" s="29">
        <f t="shared" si="74"/>
        <v>3.676270029574269E-3</v>
      </c>
    </row>
    <row r="2270" spans="1:4" x14ac:dyDescent="0.3">
      <c r="A2270" s="26">
        <v>45447</v>
      </c>
      <c r="B2270" s="27">
        <v>474.89077758789063</v>
      </c>
      <c r="C2270" s="27">
        <f t="shared" si="73"/>
        <v>6.1630848356737147</v>
      </c>
      <c r="D2270" s="29">
        <f t="shared" si="74"/>
        <v>-1.6996678117320307E-4</v>
      </c>
    </row>
    <row r="2271" spans="1:4" x14ac:dyDescent="0.3">
      <c r="A2271" s="26">
        <v>45448</v>
      </c>
      <c r="B2271" s="27">
        <v>492.88125610351563</v>
      </c>
      <c r="C2271" s="27">
        <f t="shared" si="73"/>
        <v>6.2002682852007052</v>
      </c>
      <c r="D2271" s="29">
        <f t="shared" si="74"/>
        <v>6.033252911230802E-3</v>
      </c>
    </row>
    <row r="2272" spans="1:4" x14ac:dyDescent="0.3">
      <c r="A2272" s="26">
        <v>45449</v>
      </c>
      <c r="B2272" s="27">
        <v>491.5870361328125</v>
      </c>
      <c r="C2272" s="27">
        <f t="shared" si="73"/>
        <v>6.1976390065809683</v>
      </c>
      <c r="D2272" s="29">
        <f t="shared" si="74"/>
        <v>-4.240588469393014E-4</v>
      </c>
    </row>
    <row r="2273" spans="1:4" x14ac:dyDescent="0.3">
      <c r="A2273" s="26">
        <v>45450</v>
      </c>
      <c r="B2273" s="27">
        <v>490.79055786132813</v>
      </c>
      <c r="C2273" s="27">
        <f t="shared" si="73"/>
        <v>6.196017474390346</v>
      </c>
      <c r="D2273" s="29">
        <f t="shared" si="74"/>
        <v>-2.616370829118253E-4</v>
      </c>
    </row>
    <row r="2274" spans="1:4" x14ac:dyDescent="0.3">
      <c r="A2274" s="26">
        <v>45453</v>
      </c>
      <c r="B2274" s="27">
        <v>500.38809204101563</v>
      </c>
      <c r="C2274" s="27">
        <f t="shared" si="73"/>
        <v>6.2153839814291416</v>
      </c>
      <c r="D2274" s="29">
        <f t="shared" si="74"/>
        <v>3.1256378986732614E-3</v>
      </c>
    </row>
    <row r="2275" spans="1:4" x14ac:dyDescent="0.3">
      <c r="A2275" s="26">
        <v>45454</v>
      </c>
      <c r="B2275" s="27">
        <v>505.23666381835938</v>
      </c>
      <c r="C2275" s="27">
        <f t="shared" si="73"/>
        <v>6.2250269607218316</v>
      </c>
      <c r="D2275" s="29">
        <f t="shared" si="74"/>
        <v>1.5514695989020666E-3</v>
      </c>
    </row>
    <row r="2276" spans="1:4" x14ac:dyDescent="0.3">
      <c r="A2276" s="26">
        <v>45455</v>
      </c>
      <c r="B2276" s="27">
        <v>506.60064697265619</v>
      </c>
      <c r="C2276" s="27">
        <f t="shared" si="73"/>
        <v>6.2277230146545133</v>
      </c>
      <c r="D2276" s="29">
        <f t="shared" si="74"/>
        <v>4.3309915759293105E-4</v>
      </c>
    </row>
    <row r="2277" spans="1:4" x14ac:dyDescent="0.3">
      <c r="A2277" s="26">
        <v>45456</v>
      </c>
      <c r="B2277" s="27">
        <v>501.88150024414063</v>
      </c>
      <c r="C2277" s="27">
        <f t="shared" si="73"/>
        <v>6.2183640365357373</v>
      </c>
      <c r="D2277" s="29">
        <f t="shared" si="74"/>
        <v>-1.5027929303781384E-3</v>
      </c>
    </row>
    <row r="2278" spans="1:4" x14ac:dyDescent="0.3">
      <c r="A2278" s="26">
        <v>45457</v>
      </c>
      <c r="B2278" s="27">
        <v>502.43963623046881</v>
      </c>
      <c r="C2278" s="27">
        <f t="shared" si="73"/>
        <v>6.219475505812877</v>
      </c>
      <c r="D2278" s="29">
        <f t="shared" si="74"/>
        <v>1.7873982137572852E-4</v>
      </c>
    </row>
    <row r="2279" spans="1:4" x14ac:dyDescent="0.3">
      <c r="A2279" s="26">
        <v>45460</v>
      </c>
      <c r="B2279" s="27">
        <v>504.90118408203119</v>
      </c>
      <c r="C2279" s="27">
        <f t="shared" si="73"/>
        <v>6.2243627350434059</v>
      </c>
      <c r="D2279" s="29">
        <f t="shared" si="74"/>
        <v>7.8579443330251131E-4</v>
      </c>
    </row>
    <row r="2280" spans="1:4" x14ac:dyDescent="0.3">
      <c r="A2280" s="26">
        <v>45461</v>
      </c>
      <c r="B2280" s="27">
        <v>497.7855224609375</v>
      </c>
      <c r="C2280" s="27">
        <f t="shared" si="73"/>
        <v>6.2101693064670549</v>
      </c>
      <c r="D2280" s="29">
        <f t="shared" si="74"/>
        <v>-2.2803022864399392E-3</v>
      </c>
    </row>
    <row r="2281" spans="1:4" x14ac:dyDescent="0.3">
      <c r="A2281" s="26">
        <v>45463</v>
      </c>
      <c r="B2281" s="27">
        <v>499.98797607421881</v>
      </c>
      <c r="C2281" s="27">
        <f t="shared" si="73"/>
        <v>6.2145840502814753</v>
      </c>
      <c r="D2281" s="29">
        <f t="shared" si="74"/>
        <v>7.108894454492809E-4</v>
      </c>
    </row>
    <row r="2282" spans="1:4" x14ac:dyDescent="0.3">
      <c r="A2282" s="26">
        <v>45464</v>
      </c>
      <c r="B2282" s="27">
        <v>493.09161376953119</v>
      </c>
      <c r="C2282" s="27">
        <f t="shared" si="73"/>
        <v>6.2006949859257148</v>
      </c>
      <c r="D2282" s="29">
        <f t="shared" si="74"/>
        <v>-2.2349145563702599E-3</v>
      </c>
    </row>
    <row r="2283" spans="1:4" x14ac:dyDescent="0.3">
      <c r="A2283" s="26">
        <v>45467</v>
      </c>
      <c r="B2283" s="27">
        <v>497.20751953125</v>
      </c>
      <c r="C2283" s="27">
        <f t="shared" si="73"/>
        <v>6.2090074832777242</v>
      </c>
      <c r="D2283" s="29">
        <f t="shared" si="74"/>
        <v>1.3405751082542494E-3</v>
      </c>
    </row>
    <row r="2284" spans="1:4" x14ac:dyDescent="0.3">
      <c r="A2284" s="26">
        <v>45468</v>
      </c>
      <c r="B2284" s="27">
        <v>508.85760498046881</v>
      </c>
      <c r="C2284" s="27">
        <f t="shared" si="73"/>
        <v>6.232168222953141</v>
      </c>
      <c r="D2284" s="29">
        <f t="shared" si="74"/>
        <v>3.73018388813251E-3</v>
      </c>
    </row>
    <row r="2285" spans="1:4" x14ac:dyDescent="0.3">
      <c r="A2285" s="26">
        <v>45469</v>
      </c>
      <c r="B2285" s="27">
        <v>511.36898803710938</v>
      </c>
      <c r="C2285" s="27">
        <f t="shared" si="73"/>
        <v>6.2370914197142788</v>
      </c>
      <c r="D2285" s="29">
        <f t="shared" si="74"/>
        <v>7.8996531945429993E-4</v>
      </c>
    </row>
    <row r="2286" spans="1:4" x14ac:dyDescent="0.3">
      <c r="A2286" s="26">
        <v>45470</v>
      </c>
      <c r="B2286" s="27">
        <v>517.78704833984375</v>
      </c>
      <c r="C2286" s="27">
        <f t="shared" si="73"/>
        <v>6.2495640541421995</v>
      </c>
      <c r="D2286" s="29">
        <f t="shared" si="74"/>
        <v>1.9997517414120924E-3</v>
      </c>
    </row>
    <row r="2287" spans="1:4" x14ac:dyDescent="0.3">
      <c r="A2287" s="26">
        <v>45471</v>
      </c>
      <c r="B2287" s="27">
        <v>502.49942016601563</v>
      </c>
      <c r="C2287" s="27">
        <f t="shared" si="73"/>
        <v>6.2195944860340884</v>
      </c>
      <c r="D2287" s="29">
        <f t="shared" si="74"/>
        <v>-4.7954653874212605E-3</v>
      </c>
    </row>
    <row r="2288" spans="1:4" x14ac:dyDescent="0.3">
      <c r="A2288" s="26">
        <v>45474</v>
      </c>
      <c r="B2288" s="27">
        <v>502.95779418945313</v>
      </c>
      <c r="C2288" s="27">
        <f t="shared" si="73"/>
        <v>6.2205062584071902</v>
      </c>
      <c r="D2288" s="29">
        <f t="shared" si="74"/>
        <v>1.4659675564843155E-4</v>
      </c>
    </row>
    <row r="2289" spans="1:4" x14ac:dyDescent="0.3">
      <c r="A2289" s="26">
        <v>45475</v>
      </c>
      <c r="B2289" s="27">
        <v>507.7613525390625</v>
      </c>
      <c r="C2289" s="27">
        <f t="shared" si="73"/>
        <v>6.2300115587315945</v>
      </c>
      <c r="D2289" s="29">
        <f t="shared" si="74"/>
        <v>1.5280589600819017E-3</v>
      </c>
    </row>
    <row r="2290" spans="1:4" x14ac:dyDescent="0.3">
      <c r="A2290" s="26">
        <v>45476</v>
      </c>
      <c r="B2290" s="27">
        <v>508.21978759765619</v>
      </c>
      <c r="C2290" s="27">
        <f t="shared" si="73"/>
        <v>6.2309140067625588</v>
      </c>
      <c r="D2290" s="29">
        <f t="shared" si="74"/>
        <v>1.4485495290927908E-4</v>
      </c>
    </row>
    <row r="2291" spans="1:4" x14ac:dyDescent="0.3">
      <c r="A2291" s="26">
        <v>45478</v>
      </c>
      <c r="B2291" s="27">
        <v>538.06756591796875</v>
      </c>
      <c r="C2291" s="27">
        <f t="shared" si="73"/>
        <v>6.2879841394844913</v>
      </c>
      <c r="D2291" s="29">
        <f t="shared" si="74"/>
        <v>9.1591911973094575E-3</v>
      </c>
    </row>
    <row r="2292" spans="1:4" x14ac:dyDescent="0.3">
      <c r="A2292" s="26">
        <v>45481</v>
      </c>
      <c r="B2292" s="27">
        <v>527.51373291015625</v>
      </c>
      <c r="C2292" s="27">
        <f t="shared" si="73"/>
        <v>6.2681748989642472</v>
      </c>
      <c r="D2292" s="29">
        <f t="shared" si="74"/>
        <v>-3.1503324564473578E-3</v>
      </c>
    </row>
    <row r="2293" spans="1:4" x14ac:dyDescent="0.3">
      <c r="A2293" s="26">
        <v>45482</v>
      </c>
      <c r="B2293" s="27">
        <v>528.19140625</v>
      </c>
      <c r="C2293" s="27">
        <f t="shared" si="73"/>
        <v>6.2694587298518423</v>
      </c>
      <c r="D2293" s="29">
        <f t="shared" si="74"/>
        <v>2.0481733651167566E-4</v>
      </c>
    </row>
    <row r="2294" spans="1:4" x14ac:dyDescent="0.3">
      <c r="A2294" s="26">
        <v>45483</v>
      </c>
      <c r="B2294" s="27">
        <v>532.86541748046875</v>
      </c>
      <c r="C2294" s="27">
        <f t="shared" si="73"/>
        <v>6.2782688922456993</v>
      </c>
      <c r="D2294" s="29">
        <f t="shared" si="74"/>
        <v>1.4052508794590857E-3</v>
      </c>
    </row>
    <row r="2295" spans="1:4" x14ac:dyDescent="0.3">
      <c r="A2295" s="26">
        <v>45484</v>
      </c>
      <c r="B2295" s="27">
        <v>510.95050048828119</v>
      </c>
      <c r="C2295" s="27">
        <f t="shared" si="73"/>
        <v>6.236272717582704</v>
      </c>
      <c r="D2295" s="29">
        <f t="shared" si="74"/>
        <v>-6.6891328459768307E-3</v>
      </c>
    </row>
    <row r="2296" spans="1:4" x14ac:dyDescent="0.3">
      <c r="A2296" s="26">
        <v>45485</v>
      </c>
      <c r="B2296" s="27">
        <v>497.16766357421881</v>
      </c>
      <c r="C2296" s="27">
        <f t="shared" si="73"/>
        <v>6.2089273204624611</v>
      </c>
      <c r="D2296" s="29">
        <f t="shared" si="74"/>
        <v>-4.3848943685776964E-3</v>
      </c>
    </row>
    <row r="2297" spans="1:4" x14ac:dyDescent="0.3">
      <c r="A2297" s="26">
        <v>45488</v>
      </c>
      <c r="B2297" s="27">
        <v>494.46688842773438</v>
      </c>
      <c r="C2297" s="27">
        <f t="shared" si="73"/>
        <v>6.2034801891196212</v>
      </c>
      <c r="D2297" s="29">
        <f t="shared" si="74"/>
        <v>-8.7730634644211936E-4</v>
      </c>
    </row>
    <row r="2298" spans="1:4" x14ac:dyDescent="0.3">
      <c r="A2298" s="26">
        <v>45489</v>
      </c>
      <c r="B2298" s="27">
        <v>488.11865234375</v>
      </c>
      <c r="C2298" s="27">
        <f t="shared" si="73"/>
        <v>6.1905585163480641</v>
      </c>
      <c r="D2298" s="29">
        <f t="shared" si="74"/>
        <v>-2.0829715542931559E-3</v>
      </c>
    </row>
    <row r="2299" spans="1:4" x14ac:dyDescent="0.3">
      <c r="A2299" s="26">
        <v>45490</v>
      </c>
      <c r="B2299" s="27">
        <v>460.41348266601563</v>
      </c>
      <c r="C2299" s="27">
        <f t="shared" si="73"/>
        <v>6.1321249610975137</v>
      </c>
      <c r="D2299" s="29">
        <f t="shared" si="74"/>
        <v>-9.4391410881972115E-3</v>
      </c>
    </row>
    <row r="2300" spans="1:4" x14ac:dyDescent="0.3">
      <c r="A2300" s="26">
        <v>45491</v>
      </c>
      <c r="B2300" s="27">
        <v>474.22625732421881</v>
      </c>
      <c r="C2300" s="27">
        <f t="shared" si="73"/>
        <v>6.1616845439334718</v>
      </c>
      <c r="D2300" s="29">
        <f t="shared" si="74"/>
        <v>4.8204469125279203E-3</v>
      </c>
    </row>
    <row r="2301" spans="1:4" x14ac:dyDescent="0.3">
      <c r="A2301" s="26">
        <v>45492</v>
      </c>
      <c r="B2301" s="27">
        <v>475.16299438476563</v>
      </c>
      <c r="C2301" s="27">
        <f t="shared" si="73"/>
        <v>6.1636578912466833</v>
      </c>
      <c r="D2301" s="29">
        <f t="shared" si="74"/>
        <v>3.2026100965421023E-4</v>
      </c>
    </row>
    <row r="2302" spans="1:4" x14ac:dyDescent="0.3">
      <c r="A2302" s="26">
        <v>45495</v>
      </c>
      <c r="B2302" s="27">
        <v>485.73678588867188</v>
      </c>
      <c r="C2302" s="27">
        <f t="shared" si="73"/>
        <v>6.1856668843644638</v>
      </c>
      <c r="D2302" s="29">
        <f t="shared" si="74"/>
        <v>3.5707681227792332E-3</v>
      </c>
    </row>
    <row r="2303" spans="1:4" x14ac:dyDescent="0.3">
      <c r="A2303" s="26">
        <v>45496</v>
      </c>
      <c r="B2303" s="27">
        <v>487.02239990234381</v>
      </c>
      <c r="C2303" s="27">
        <f t="shared" si="73"/>
        <v>6.1883101177175179</v>
      </c>
      <c r="D2303" s="29">
        <f t="shared" si="74"/>
        <v>4.2731582583854788E-4</v>
      </c>
    </row>
    <row r="2304" spans="1:4" x14ac:dyDescent="0.3">
      <c r="A2304" s="26">
        <v>45497</v>
      </c>
      <c r="B2304" s="27">
        <v>459.69595336914063</v>
      </c>
      <c r="C2304" s="27">
        <f t="shared" si="73"/>
        <v>6.1305653000088967</v>
      </c>
      <c r="D2304" s="29">
        <f t="shared" si="74"/>
        <v>-9.3312740651594339E-3</v>
      </c>
    </row>
    <row r="2305" spans="1:4" x14ac:dyDescent="0.3">
      <c r="A2305" s="26">
        <v>45498</v>
      </c>
      <c r="B2305" s="27">
        <v>451.86279296875</v>
      </c>
      <c r="C2305" s="27">
        <f t="shared" si="73"/>
        <v>6.1133785783710994</v>
      </c>
      <c r="D2305" s="29">
        <f t="shared" si="74"/>
        <v>-2.803448099276018E-3</v>
      </c>
    </row>
    <row r="2306" spans="1:4" x14ac:dyDescent="0.3">
      <c r="A2306" s="26">
        <v>45499</v>
      </c>
      <c r="B2306" s="27">
        <v>464.11083984375</v>
      </c>
      <c r="C2306" s="27">
        <f t="shared" si="73"/>
        <v>6.1401234026728151</v>
      </c>
      <c r="D2306" s="29">
        <f t="shared" si="74"/>
        <v>4.3748025676566549E-3</v>
      </c>
    </row>
    <row r="2307" spans="1:4" x14ac:dyDescent="0.3">
      <c r="A2307" s="26">
        <v>45502</v>
      </c>
      <c r="B2307" s="27">
        <v>464.12078857421881</v>
      </c>
      <c r="C2307" s="27">
        <f t="shared" ref="C2307:C2370" si="75">LN(B2307)</f>
        <v>6.1401448385518878</v>
      </c>
      <c r="D2307" s="29">
        <f t="shared" si="74"/>
        <v>3.4911153516947735E-6</v>
      </c>
    </row>
    <row r="2308" spans="1:4" x14ac:dyDescent="0.3">
      <c r="A2308" s="26">
        <v>45503</v>
      </c>
      <c r="B2308" s="27">
        <v>461.60940551757813</v>
      </c>
      <c r="C2308" s="27">
        <f t="shared" si="75"/>
        <v>6.1347190908909361</v>
      </c>
      <c r="D2308" s="29">
        <f t="shared" ref="D2308:D2371" si="76">C2308/C2307-1</f>
        <v>-8.8365141272972458E-4</v>
      </c>
    </row>
    <row r="2309" spans="1:4" x14ac:dyDescent="0.3">
      <c r="A2309" s="26">
        <v>45504</v>
      </c>
      <c r="B2309" s="27">
        <v>473.20962524414063</v>
      </c>
      <c r="C2309" s="27">
        <f t="shared" si="75"/>
        <v>6.1595384726499836</v>
      </c>
      <c r="D2309" s="29">
        <f t="shared" si="76"/>
        <v>4.0457242444726926E-3</v>
      </c>
    </row>
    <row r="2310" spans="1:4" x14ac:dyDescent="0.3">
      <c r="A2310" s="26">
        <v>45505</v>
      </c>
      <c r="B2310" s="27">
        <v>496.04147338867188</v>
      </c>
      <c r="C2310" s="27">
        <f t="shared" si="75"/>
        <v>6.2066595389322972</v>
      </c>
      <c r="D2310" s="29">
        <f t="shared" si="76"/>
        <v>7.6500969174142508E-3</v>
      </c>
    </row>
    <row r="2311" spans="1:4" x14ac:dyDescent="0.3">
      <c r="A2311" s="26">
        <v>45506</v>
      </c>
      <c r="B2311" s="27">
        <v>486.47430419921881</v>
      </c>
      <c r="C2311" s="27">
        <f t="shared" si="75"/>
        <v>6.1871840825522648</v>
      </c>
      <c r="D2311" s="29">
        <f t="shared" si="76"/>
        <v>-3.1378322361439448E-3</v>
      </c>
    </row>
    <row r="2312" spans="1:4" x14ac:dyDescent="0.3">
      <c r="A2312" s="26">
        <v>45509</v>
      </c>
      <c r="B2312" s="27">
        <v>474.10662841796881</v>
      </c>
      <c r="C2312" s="27">
        <f t="shared" si="75"/>
        <v>6.1614322508649026</v>
      </c>
      <c r="D2312" s="29">
        <f t="shared" si="76"/>
        <v>-4.1621246990181104E-3</v>
      </c>
    </row>
    <row r="2313" spans="1:4" x14ac:dyDescent="0.3">
      <c r="A2313" s="26">
        <v>45510</v>
      </c>
      <c r="B2313" s="27">
        <v>492.40396118164063</v>
      </c>
      <c r="C2313" s="27">
        <f t="shared" si="75"/>
        <v>6.1992994389197777</v>
      </c>
      <c r="D2313" s="29">
        <f t="shared" si="76"/>
        <v>6.1458418291557848E-3</v>
      </c>
    </row>
    <row r="2314" spans="1:4" x14ac:dyDescent="0.3">
      <c r="A2314" s="26">
        <v>45511</v>
      </c>
      <c r="B2314" s="27">
        <v>487.2515869140625</v>
      </c>
      <c r="C2314" s="27">
        <f t="shared" si="75"/>
        <v>6.1887805952608943</v>
      </c>
      <c r="D2314" s="29">
        <f t="shared" si="76"/>
        <v>-1.6967794123389224E-3</v>
      </c>
    </row>
    <row r="2315" spans="1:4" x14ac:dyDescent="0.3">
      <c r="A2315" s="26">
        <v>45512</v>
      </c>
      <c r="B2315" s="27">
        <v>507.89093017578119</v>
      </c>
      <c r="C2315" s="27">
        <f t="shared" si="75"/>
        <v>6.2302667201478137</v>
      </c>
      <c r="D2315" s="29">
        <f t="shared" si="76"/>
        <v>6.703440887642298E-3</v>
      </c>
    </row>
    <row r="2316" spans="1:4" x14ac:dyDescent="0.3">
      <c r="A2316" s="26">
        <v>45513</v>
      </c>
      <c r="B2316" s="27">
        <v>516.003173828125</v>
      </c>
      <c r="C2316" s="27">
        <f t="shared" si="75"/>
        <v>6.2461129162923461</v>
      </c>
      <c r="D2316" s="29">
        <f t="shared" si="76"/>
        <v>2.5434217917650326E-3</v>
      </c>
    </row>
    <row r="2317" spans="1:4" x14ac:dyDescent="0.3">
      <c r="A2317" s="26">
        <v>45516</v>
      </c>
      <c r="B2317" s="27">
        <v>514.18939208984375</v>
      </c>
      <c r="C2317" s="27">
        <f t="shared" si="75"/>
        <v>6.242591664688697</v>
      </c>
      <c r="D2317" s="29">
        <f t="shared" si="76"/>
        <v>-5.6375087207671815E-4</v>
      </c>
    </row>
    <row r="2318" spans="1:4" x14ac:dyDescent="0.3">
      <c r="A2318" s="26">
        <v>45517</v>
      </c>
      <c r="B2318" s="27">
        <v>526.73638916015625</v>
      </c>
      <c r="C2318" s="27">
        <f t="shared" si="75"/>
        <v>6.2667002130721601</v>
      </c>
      <c r="D2318" s="29">
        <f t="shared" si="76"/>
        <v>3.8619454352322169E-3</v>
      </c>
    </row>
    <row r="2319" spans="1:4" x14ac:dyDescent="0.3">
      <c r="A2319" s="26">
        <v>45518</v>
      </c>
      <c r="B2319" s="27">
        <v>524.9625244140625</v>
      </c>
      <c r="C2319" s="27">
        <f t="shared" si="75"/>
        <v>6.2633268779753504</v>
      </c>
      <c r="D2319" s="29">
        <f t="shared" si="76"/>
        <v>-5.3829527217097439E-4</v>
      </c>
    </row>
    <row r="2320" spans="1:4" x14ac:dyDescent="0.3">
      <c r="A2320" s="26">
        <v>45519</v>
      </c>
      <c r="B2320" s="27">
        <v>535.49639892578125</v>
      </c>
      <c r="C2320" s="27">
        <f t="shared" si="75"/>
        <v>6.283194165170106</v>
      </c>
      <c r="D2320" s="29">
        <f t="shared" si="76"/>
        <v>3.1720022891696953E-3</v>
      </c>
    </row>
    <row r="2321" spans="1:4" x14ac:dyDescent="0.3">
      <c r="A2321" s="26">
        <v>45520</v>
      </c>
      <c r="B2321" s="27">
        <v>525.62017822265625</v>
      </c>
      <c r="C2321" s="27">
        <f t="shared" si="75"/>
        <v>6.2645788572680736</v>
      </c>
      <c r="D2321" s="29">
        <f t="shared" si="76"/>
        <v>-2.9627140929725515E-3</v>
      </c>
    </row>
    <row r="2322" spans="1:4" x14ac:dyDescent="0.3">
      <c r="A2322" s="26">
        <v>45523</v>
      </c>
      <c r="B2322" s="27">
        <v>527.47393798828125</v>
      </c>
      <c r="C2322" s="27">
        <f t="shared" si="75"/>
        <v>6.2680994574723856</v>
      </c>
      <c r="D2322" s="29">
        <f t="shared" si="76"/>
        <v>5.6198513651528614E-4</v>
      </c>
    </row>
    <row r="2323" spans="1:4" x14ac:dyDescent="0.3">
      <c r="A2323" s="26">
        <v>45524</v>
      </c>
      <c r="B2323" s="27">
        <v>524.93255615234375</v>
      </c>
      <c r="C2323" s="27">
        <f t="shared" si="75"/>
        <v>6.2632697898676302</v>
      </c>
      <c r="D2323" s="29">
        <f t="shared" si="76"/>
        <v>-7.7051547084150407E-4</v>
      </c>
    </row>
    <row r="2324" spans="1:4" x14ac:dyDescent="0.3">
      <c r="A2324" s="26">
        <v>45525</v>
      </c>
      <c r="B2324" s="27">
        <v>533.33380126953125</v>
      </c>
      <c r="C2324" s="27">
        <f t="shared" si="75"/>
        <v>6.2791474969397489</v>
      </c>
      <c r="D2324" s="29">
        <f t="shared" si="76"/>
        <v>2.5350507969184033E-3</v>
      </c>
    </row>
    <row r="2325" spans="1:4" x14ac:dyDescent="0.3">
      <c r="A2325" s="26">
        <v>45526</v>
      </c>
      <c r="B2325" s="27">
        <v>530.11474609375</v>
      </c>
      <c r="C2325" s="27">
        <f t="shared" si="75"/>
        <v>6.2730934851766573</v>
      </c>
      <c r="D2325" s="29">
        <f t="shared" si="76"/>
        <v>-9.6414549364254309E-4</v>
      </c>
    </row>
    <row r="2326" spans="1:4" x14ac:dyDescent="0.3">
      <c r="A2326" s="26">
        <v>45527</v>
      </c>
      <c r="B2326" s="27">
        <v>526.19818115234375</v>
      </c>
      <c r="C2326" s="27">
        <f t="shared" si="75"/>
        <v>6.2656779120292256</v>
      </c>
      <c r="D2326" s="29">
        <f t="shared" si="76"/>
        <v>-1.1821238062137418E-3</v>
      </c>
    </row>
    <row r="2327" spans="1:4" x14ac:dyDescent="0.3">
      <c r="A2327" s="26">
        <v>45530</v>
      </c>
      <c r="B2327" s="27">
        <v>519.341796875</v>
      </c>
      <c r="C2327" s="27">
        <f t="shared" si="75"/>
        <v>6.2525622345649632</v>
      </c>
      <c r="D2327" s="29">
        <f t="shared" si="76"/>
        <v>-2.0932575290987243E-3</v>
      </c>
    </row>
    <row r="2328" spans="1:4" x14ac:dyDescent="0.3">
      <c r="A2328" s="26">
        <v>45531</v>
      </c>
      <c r="B2328" s="27">
        <v>517.32861328125</v>
      </c>
      <c r="C2328" s="27">
        <f t="shared" si="75"/>
        <v>6.2486782882214156</v>
      </c>
      <c r="D2328" s="29">
        <f t="shared" si="76"/>
        <v>-6.2117675887762847E-4</v>
      </c>
    </row>
    <row r="2329" spans="1:4" x14ac:dyDescent="0.3">
      <c r="A2329" s="26">
        <v>45532</v>
      </c>
      <c r="B2329" s="27">
        <v>515.01654052734375</v>
      </c>
      <c r="C2329" s="27">
        <f t="shared" si="75"/>
        <v>6.2441990176768023</v>
      </c>
      <c r="D2329" s="29">
        <f t="shared" si="76"/>
        <v>-7.1683487899454335E-4</v>
      </c>
    </row>
    <row r="2330" spans="1:4" x14ac:dyDescent="0.3">
      <c r="A2330" s="26">
        <v>45533</v>
      </c>
      <c r="B2330" s="27">
        <v>516.45159912109375</v>
      </c>
      <c r="C2330" s="27">
        <f t="shared" si="75"/>
        <v>6.2469815748194115</v>
      </c>
      <c r="D2330" s="29">
        <f t="shared" si="76"/>
        <v>4.4562275076942548E-4</v>
      </c>
    </row>
    <row r="2331" spans="1:4" x14ac:dyDescent="0.3">
      <c r="A2331" s="26">
        <v>45534</v>
      </c>
      <c r="B2331" s="27">
        <v>519.53106689453125</v>
      </c>
      <c r="C2331" s="27">
        <f t="shared" si="75"/>
        <v>6.2529266102806575</v>
      </c>
      <c r="D2331" s="29">
        <f t="shared" si="76"/>
        <v>9.516652786698554E-4</v>
      </c>
    </row>
    <row r="2332" spans="1:4" x14ac:dyDescent="0.3">
      <c r="A2332" s="26">
        <v>45538</v>
      </c>
      <c r="B2332" s="27">
        <v>510.013671875</v>
      </c>
      <c r="C2332" s="27">
        <f t="shared" si="75"/>
        <v>6.2344375329570934</v>
      </c>
      <c r="D2332" s="29">
        <f t="shared" si="76"/>
        <v>-2.9568677958199396E-3</v>
      </c>
    </row>
    <row r="2333" spans="1:4" x14ac:dyDescent="0.3">
      <c r="A2333" s="26">
        <v>45539</v>
      </c>
      <c r="B2333" s="27">
        <v>510.99029541015619</v>
      </c>
      <c r="C2333" s="27">
        <f t="shared" si="75"/>
        <v>6.236350598653809</v>
      </c>
      <c r="D2333" s="29">
        <f t="shared" si="76"/>
        <v>3.0685457775492253E-4</v>
      </c>
    </row>
    <row r="2334" spans="1:4" x14ac:dyDescent="0.3">
      <c r="A2334" s="26">
        <v>45540</v>
      </c>
      <c r="B2334" s="27">
        <v>515.09625244140625</v>
      </c>
      <c r="C2334" s="27">
        <f t="shared" si="75"/>
        <v>6.2443537811449694</v>
      </c>
      <c r="D2334" s="29">
        <f t="shared" si="76"/>
        <v>1.2833118286981193E-3</v>
      </c>
    </row>
    <row r="2335" spans="1:4" x14ac:dyDescent="0.3">
      <c r="A2335" s="26">
        <v>45541</v>
      </c>
      <c r="B2335" s="27">
        <v>498.56289672851563</v>
      </c>
      <c r="C2335" s="27">
        <f t="shared" si="75"/>
        <v>6.2117297534158293</v>
      </c>
      <c r="D2335" s="29">
        <f t="shared" si="76"/>
        <v>-5.2245642819997995E-3</v>
      </c>
    </row>
    <row r="2336" spans="1:4" x14ac:dyDescent="0.3">
      <c r="A2336" s="26">
        <v>45544</v>
      </c>
      <c r="B2336" s="27">
        <v>503.06747436523438</v>
      </c>
      <c r="C2336" s="27">
        <f t="shared" si="75"/>
        <v>6.2207243049705205</v>
      </c>
      <c r="D2336" s="29">
        <f t="shared" si="76"/>
        <v>1.4479946668228827E-3</v>
      </c>
    </row>
    <row r="2337" spans="1:4" x14ac:dyDescent="0.3">
      <c r="A2337" s="26">
        <v>45545</v>
      </c>
      <c r="B2337" s="27">
        <v>503.06747436523438</v>
      </c>
      <c r="C2337" s="27">
        <f t="shared" si="75"/>
        <v>6.2207243049705205</v>
      </c>
      <c r="D2337" s="29">
        <f t="shared" si="76"/>
        <v>0</v>
      </c>
    </row>
    <row r="2338" spans="1:4" x14ac:dyDescent="0.3">
      <c r="A2338" s="26">
        <v>45546</v>
      </c>
      <c r="B2338" s="27">
        <v>510.08340454101563</v>
      </c>
      <c r="C2338" s="27">
        <f t="shared" si="75"/>
        <v>6.2345742506631554</v>
      </c>
      <c r="D2338" s="29">
        <f t="shared" si="76"/>
        <v>2.2264201102062398E-3</v>
      </c>
    </row>
    <row r="2339" spans="1:4" x14ac:dyDescent="0.3">
      <c r="A2339" s="26">
        <v>45547</v>
      </c>
      <c r="B2339" s="27">
        <v>523.806396484375</v>
      </c>
      <c r="C2339" s="27">
        <f t="shared" si="75"/>
        <v>6.2611221436912503</v>
      </c>
      <c r="D2339" s="29">
        <f t="shared" si="76"/>
        <v>4.258172564914231E-3</v>
      </c>
    </row>
    <row r="2340" spans="1:4" x14ac:dyDescent="0.3">
      <c r="A2340" s="26">
        <v>45548</v>
      </c>
      <c r="B2340" s="27">
        <v>522.829833984375</v>
      </c>
      <c r="C2340" s="27">
        <f t="shared" si="75"/>
        <v>6.2592560458915312</v>
      </c>
      <c r="D2340" s="29">
        <f t="shared" si="76"/>
        <v>-2.9804526359533678E-4</v>
      </c>
    </row>
    <row r="2341" spans="1:4" x14ac:dyDescent="0.3">
      <c r="A2341" s="26">
        <v>45551</v>
      </c>
      <c r="B2341" s="27">
        <v>531.96728515625</v>
      </c>
      <c r="C2341" s="27">
        <f t="shared" si="75"/>
        <v>6.2765819933836076</v>
      </c>
      <c r="D2341" s="29">
        <f t="shared" si="76"/>
        <v>2.7680522038155964E-3</v>
      </c>
    </row>
    <row r="2342" spans="1:4" x14ac:dyDescent="0.3">
      <c r="A2342" s="26">
        <v>45552</v>
      </c>
      <c r="B2342" s="27">
        <v>534.999755859375</v>
      </c>
      <c r="C2342" s="27">
        <f t="shared" si="75"/>
        <v>6.2822662905582858</v>
      </c>
      <c r="D2342" s="29">
        <f t="shared" si="76"/>
        <v>9.0563577129554318E-4</v>
      </c>
    </row>
    <row r="2343" spans="1:4" x14ac:dyDescent="0.3">
      <c r="A2343" s="26">
        <v>45553</v>
      </c>
      <c r="B2343" s="27">
        <v>536.62579345703125</v>
      </c>
      <c r="C2343" s="27">
        <f t="shared" si="75"/>
        <v>6.2853010051497931</v>
      </c>
      <c r="D2343" s="29">
        <f t="shared" si="76"/>
        <v>4.8306048345447827E-4</v>
      </c>
    </row>
    <row r="2344" spans="1:4" x14ac:dyDescent="0.3">
      <c r="A2344" s="26">
        <v>45554</v>
      </c>
      <c r="B2344" s="27">
        <v>557.7236328125</v>
      </c>
      <c r="C2344" s="27">
        <f t="shared" si="75"/>
        <v>6.3238635579907889</v>
      </c>
      <c r="D2344" s="29">
        <f t="shared" si="76"/>
        <v>6.1353549829037402E-3</v>
      </c>
    </row>
    <row r="2345" spans="1:4" x14ac:dyDescent="0.3">
      <c r="A2345" s="26">
        <v>45555</v>
      </c>
      <c r="B2345" s="27">
        <v>559.9681396484375</v>
      </c>
      <c r="C2345" s="27">
        <f t="shared" si="75"/>
        <v>6.3278798886257661</v>
      </c>
      <c r="D2345" s="29">
        <f t="shared" si="76"/>
        <v>6.3510709839742496E-4</v>
      </c>
    </row>
    <row r="2346" spans="1:4" x14ac:dyDescent="0.3">
      <c r="A2346" s="26">
        <v>45558</v>
      </c>
      <c r="B2346" s="27">
        <v>563.02056884765625</v>
      </c>
      <c r="C2346" s="27">
        <f t="shared" si="75"/>
        <v>6.3333161618376135</v>
      </c>
      <c r="D2346" s="29">
        <f t="shared" si="76"/>
        <v>8.5909867246680705E-4</v>
      </c>
    </row>
    <row r="2347" spans="1:4" x14ac:dyDescent="0.3">
      <c r="A2347" s="26">
        <v>45559</v>
      </c>
      <c r="B2347" s="27">
        <v>561.94329833984375</v>
      </c>
      <c r="C2347" s="27">
        <f t="shared" si="75"/>
        <v>6.3314009521699566</v>
      </c>
      <c r="D2347" s="29">
        <f t="shared" si="76"/>
        <v>-3.0240234637224361E-4</v>
      </c>
    </row>
    <row r="2348" spans="1:4" x14ac:dyDescent="0.3">
      <c r="A2348" s="26">
        <v>45560</v>
      </c>
      <c r="B2348" s="27">
        <v>566.9110107421875</v>
      </c>
      <c r="C2348" s="27">
        <f t="shared" si="75"/>
        <v>6.3402023438655544</v>
      </c>
      <c r="D2348" s="29">
        <f t="shared" si="76"/>
        <v>1.3901175683055378E-3</v>
      </c>
    </row>
    <row r="2349" spans="1:4" x14ac:dyDescent="0.3">
      <c r="A2349" s="26">
        <v>45561</v>
      </c>
      <c r="B2349" s="27">
        <v>566.44219970703125</v>
      </c>
      <c r="C2349" s="27">
        <f t="shared" si="75"/>
        <v>6.3393750447366113</v>
      </c>
      <c r="D2349" s="29">
        <f t="shared" si="76"/>
        <v>-1.3048465712506285E-4</v>
      </c>
    </row>
    <row r="2350" spans="1:4" x14ac:dyDescent="0.3">
      <c r="A2350" s="26">
        <v>45562</v>
      </c>
      <c r="B2350" s="27">
        <v>565.96331787109375</v>
      </c>
      <c r="C2350" s="27">
        <f t="shared" si="75"/>
        <v>6.3385292666879334</v>
      </c>
      <c r="D2350" s="29">
        <f t="shared" si="76"/>
        <v>-1.3341662903820772E-4</v>
      </c>
    </row>
    <row r="2351" spans="1:4" x14ac:dyDescent="0.3">
      <c r="A2351" s="26">
        <v>45565</v>
      </c>
      <c r="B2351" s="27">
        <v>571.03082275390625</v>
      </c>
      <c r="C2351" s="27">
        <f t="shared" si="75"/>
        <v>6.3474431885036902</v>
      </c>
      <c r="D2351" s="29">
        <f t="shared" si="76"/>
        <v>1.4063075897754462E-3</v>
      </c>
    </row>
    <row r="2352" spans="1:4" x14ac:dyDescent="0.3">
      <c r="A2352" s="26">
        <v>45566</v>
      </c>
      <c r="B2352" s="27">
        <v>575.05084228515625</v>
      </c>
      <c r="C2352" s="27">
        <f t="shared" si="75"/>
        <v>6.3544584582539008</v>
      </c>
      <c r="D2352" s="29">
        <f t="shared" si="76"/>
        <v>1.1052119005832139E-3</v>
      </c>
    </row>
    <row r="2353" spans="1:4" x14ac:dyDescent="0.3">
      <c r="A2353" s="26">
        <v>45567</v>
      </c>
      <c r="B2353" s="27">
        <v>571.39990234375</v>
      </c>
      <c r="C2353" s="27">
        <f t="shared" si="75"/>
        <v>6.3480893188896754</v>
      </c>
      <c r="D2353" s="29">
        <f t="shared" si="76"/>
        <v>-1.002310331567613E-3</v>
      </c>
    </row>
    <row r="2354" spans="1:4" x14ac:dyDescent="0.3">
      <c r="A2354" s="26">
        <v>45568</v>
      </c>
      <c r="B2354" s="27">
        <v>581.33538818359375</v>
      </c>
      <c r="C2354" s="27">
        <f t="shared" si="75"/>
        <v>6.3653278505140527</v>
      </c>
      <c r="D2354" s="29">
        <f t="shared" si="76"/>
        <v>2.7155464831096765E-3</v>
      </c>
    </row>
    <row r="2355" spans="1:4" x14ac:dyDescent="0.3">
      <c r="A2355" s="26">
        <v>45569</v>
      </c>
      <c r="B2355" s="27">
        <v>594.4730224609375</v>
      </c>
      <c r="C2355" s="27">
        <f t="shared" si="75"/>
        <v>6.3876753365661916</v>
      </c>
      <c r="D2355" s="29">
        <f t="shared" si="76"/>
        <v>3.510814615830693E-3</v>
      </c>
    </row>
    <row r="2356" spans="1:4" x14ac:dyDescent="0.3">
      <c r="A2356" s="26">
        <v>45572</v>
      </c>
      <c r="B2356" s="27">
        <v>583.34051513671875</v>
      </c>
      <c r="C2356" s="27">
        <f t="shared" si="75"/>
        <v>6.368771089836609</v>
      </c>
      <c r="D2356" s="29">
        <f t="shared" si="76"/>
        <v>-2.9594877218266369E-3</v>
      </c>
    </row>
    <row r="2357" spans="1:4" x14ac:dyDescent="0.3">
      <c r="A2357" s="26">
        <v>45573</v>
      </c>
      <c r="B2357" s="27">
        <v>591.4305419921875</v>
      </c>
      <c r="C2357" s="27">
        <f t="shared" si="75"/>
        <v>6.3825442496293441</v>
      </c>
      <c r="D2357" s="29">
        <f t="shared" si="76"/>
        <v>2.162608704011193E-3</v>
      </c>
    </row>
    <row r="2358" spans="1:4" x14ac:dyDescent="0.3">
      <c r="A2358" s="26">
        <v>45574</v>
      </c>
      <c r="B2358" s="27">
        <v>589.056396484375</v>
      </c>
      <c r="C2358" s="27">
        <f t="shared" si="75"/>
        <v>6.378521928616915</v>
      </c>
      <c r="D2358" s="29">
        <f t="shared" si="76"/>
        <v>-6.3020652189960114E-4</v>
      </c>
    </row>
    <row r="2359" spans="1:4" x14ac:dyDescent="0.3">
      <c r="A2359" s="26">
        <v>45575</v>
      </c>
      <c r="B2359" s="27">
        <v>582.392822265625</v>
      </c>
      <c r="C2359" s="27">
        <f t="shared" si="75"/>
        <v>6.3671451723999795</v>
      </c>
      <c r="D2359" s="29">
        <f t="shared" si="76"/>
        <v>-1.7836038418076461E-3</v>
      </c>
    </row>
    <row r="2360" spans="1:4" x14ac:dyDescent="0.3">
      <c r="A2360" s="26">
        <v>45576</v>
      </c>
      <c r="B2360" s="27">
        <v>588.497802734375</v>
      </c>
      <c r="C2360" s="27">
        <f t="shared" si="75"/>
        <v>6.3775731930219512</v>
      </c>
      <c r="D2360" s="29">
        <f t="shared" si="76"/>
        <v>1.6377859055538568E-3</v>
      </c>
    </row>
    <row r="2361" spans="1:4" x14ac:dyDescent="0.3">
      <c r="A2361" s="26">
        <v>45579</v>
      </c>
      <c r="B2361" s="27">
        <v>588.966552734375</v>
      </c>
      <c r="C2361" s="27">
        <f t="shared" si="75"/>
        <v>6.378369395510096</v>
      </c>
      <c r="D2361" s="29">
        <f t="shared" si="76"/>
        <v>1.248441160999203E-4</v>
      </c>
    </row>
    <row r="2362" spans="1:4" x14ac:dyDescent="0.3">
      <c r="A2362" s="26">
        <v>45580</v>
      </c>
      <c r="B2362" s="27">
        <v>584.8267822265625</v>
      </c>
      <c r="C2362" s="27">
        <f t="shared" si="75"/>
        <v>6.3713157046279507</v>
      </c>
      <c r="D2362" s="29">
        <f t="shared" si="76"/>
        <v>-1.1058768228617843E-3</v>
      </c>
    </row>
    <row r="2363" spans="1:4" x14ac:dyDescent="0.3">
      <c r="A2363" s="26">
        <v>45581</v>
      </c>
      <c r="B2363" s="27">
        <v>575.37005615234375</v>
      </c>
      <c r="C2363" s="27">
        <f t="shared" si="75"/>
        <v>6.3550134097083006</v>
      </c>
      <c r="D2363" s="29">
        <f t="shared" si="76"/>
        <v>-2.5587014794775653E-3</v>
      </c>
    </row>
    <row r="2364" spans="1:4" x14ac:dyDescent="0.3">
      <c r="A2364" s="26">
        <v>45582</v>
      </c>
      <c r="B2364" s="27">
        <v>575.509765625</v>
      </c>
      <c r="C2364" s="27">
        <f t="shared" si="75"/>
        <v>6.3552561969580186</v>
      </c>
      <c r="D2364" s="29">
        <f t="shared" si="76"/>
        <v>3.8204049946921614E-5</v>
      </c>
    </row>
    <row r="2365" spans="1:4" x14ac:dyDescent="0.3">
      <c r="A2365" s="26">
        <v>45583</v>
      </c>
      <c r="B2365" s="27">
        <v>575.05084228515625</v>
      </c>
      <c r="C2365" s="27">
        <f t="shared" si="75"/>
        <v>6.3544584582539008</v>
      </c>
      <c r="D2365" s="29">
        <f t="shared" si="76"/>
        <v>-1.255242399983425E-4</v>
      </c>
    </row>
    <row r="2366" spans="1:4" x14ac:dyDescent="0.3">
      <c r="A2366" s="26">
        <v>45586</v>
      </c>
      <c r="B2366" s="27">
        <v>573.744140625</v>
      </c>
      <c r="C2366" s="27">
        <f t="shared" si="75"/>
        <v>6.352183548904307</v>
      </c>
      <c r="D2366" s="29">
        <f t="shared" si="76"/>
        <v>-3.5800208067127137E-4</v>
      </c>
    </row>
    <row r="2367" spans="1:4" x14ac:dyDescent="0.3">
      <c r="A2367" s="26">
        <v>45587</v>
      </c>
      <c r="B2367" s="27">
        <v>580.5772705078125</v>
      </c>
      <c r="C2367" s="27">
        <f t="shared" si="75"/>
        <v>6.3640229025428043</v>
      </c>
      <c r="D2367" s="29">
        <f t="shared" si="76"/>
        <v>1.863824234194178E-3</v>
      </c>
    </row>
    <row r="2368" spans="1:4" x14ac:dyDescent="0.3">
      <c r="A2368" s="26">
        <v>45588</v>
      </c>
      <c r="B2368" s="27">
        <v>562.3023681640625</v>
      </c>
      <c r="C2368" s="27">
        <f t="shared" si="75"/>
        <v>6.3320397268561779</v>
      </c>
      <c r="D2368" s="29">
        <f t="shared" si="76"/>
        <v>-5.0256223424097746E-3</v>
      </c>
    </row>
    <row r="2369" spans="1:4" x14ac:dyDescent="0.3">
      <c r="A2369" s="26">
        <v>45589</v>
      </c>
      <c r="B2369" s="27">
        <v>566.38238525390625</v>
      </c>
      <c r="C2369" s="27">
        <f t="shared" si="75"/>
        <v>6.339269442414813</v>
      </c>
      <c r="D2369" s="29">
        <f t="shared" si="76"/>
        <v>1.1417672457063599E-3</v>
      </c>
    </row>
    <row r="2370" spans="1:4" x14ac:dyDescent="0.3">
      <c r="A2370" s="26">
        <v>45590</v>
      </c>
      <c r="B2370" s="27">
        <v>571.8388671875</v>
      </c>
      <c r="C2370" s="27">
        <f t="shared" si="75"/>
        <v>6.348857250973543</v>
      </c>
      <c r="D2370" s="29">
        <f t="shared" si="76"/>
        <v>1.5124469224450099E-3</v>
      </c>
    </row>
    <row r="2371" spans="1:4" x14ac:dyDescent="0.3">
      <c r="A2371" s="26">
        <v>45593</v>
      </c>
      <c r="B2371" s="27">
        <v>576.7366943359375</v>
      </c>
      <c r="C2371" s="27">
        <f t="shared" ref="C2371:C2434" si="77">LN(B2371)</f>
        <v>6.3573858267156815</v>
      </c>
      <c r="D2371" s="29">
        <f t="shared" si="76"/>
        <v>1.3433245393619231E-3</v>
      </c>
    </row>
    <row r="2372" spans="1:4" x14ac:dyDescent="0.3">
      <c r="A2372" s="26">
        <v>45594</v>
      </c>
      <c r="B2372" s="27">
        <v>591.819580078125</v>
      </c>
      <c r="C2372" s="27">
        <f t="shared" si="77"/>
        <v>6.3832018250526632</v>
      </c>
      <c r="D2372" s="29">
        <f t="shared" ref="D2372:D2435" si="78">C2372/C2371-1</f>
        <v>4.0607883555683344E-3</v>
      </c>
    </row>
    <row r="2373" spans="1:4" x14ac:dyDescent="0.3">
      <c r="A2373" s="26">
        <v>45595</v>
      </c>
      <c r="B2373" s="27">
        <v>590.3431396484375</v>
      </c>
      <c r="C2373" s="27">
        <f t="shared" si="77"/>
        <v>6.3807039604647908</v>
      </c>
      <c r="D2373" s="29">
        <f t="shared" si="78"/>
        <v>-3.913184411730164E-4</v>
      </c>
    </row>
    <row r="2374" spans="1:4" x14ac:dyDescent="0.3">
      <c r="A2374" s="26">
        <v>45596</v>
      </c>
      <c r="B2374" s="27">
        <v>566.1827392578125</v>
      </c>
      <c r="C2374" s="27">
        <f t="shared" si="77"/>
        <v>6.338916886974352</v>
      </c>
      <c r="D2374" s="29">
        <f t="shared" si="78"/>
        <v>-6.5489754342709094E-3</v>
      </c>
    </row>
    <row r="2375" spans="1:4" x14ac:dyDescent="0.3">
      <c r="A2375" s="26">
        <v>45597</v>
      </c>
      <c r="B2375" s="27">
        <v>565.76385498046875</v>
      </c>
      <c r="C2375" s="27">
        <f t="shared" si="77"/>
        <v>6.3381767737948138</v>
      </c>
      <c r="D2375" s="29">
        <f t="shared" si="78"/>
        <v>-1.1675704110569729E-4</v>
      </c>
    </row>
    <row r="2376" spans="1:4" x14ac:dyDescent="0.3">
      <c r="A2376" s="26">
        <v>45600</v>
      </c>
      <c r="B2376" s="27">
        <v>559.29974365234375</v>
      </c>
      <c r="C2376" s="27">
        <f t="shared" si="77"/>
        <v>6.3266855434908447</v>
      </c>
      <c r="D2376" s="29">
        <f t="shared" si="78"/>
        <v>-1.8130182723018473E-3</v>
      </c>
    </row>
    <row r="2377" spans="1:4" x14ac:dyDescent="0.3">
      <c r="A2377" s="26">
        <v>45601</v>
      </c>
      <c r="B2377" s="27">
        <v>571.0208740234375</v>
      </c>
      <c r="C2377" s="27">
        <f t="shared" si="77"/>
        <v>6.3474257659465554</v>
      </c>
      <c r="D2377" s="29">
        <f t="shared" si="78"/>
        <v>3.2782129462793907E-3</v>
      </c>
    </row>
    <row r="2378" spans="1:4" x14ac:dyDescent="0.3">
      <c r="A2378" s="26">
        <v>45602</v>
      </c>
      <c r="B2378" s="27">
        <v>570.64178466796875</v>
      </c>
      <c r="C2378" s="27">
        <f t="shared" si="77"/>
        <v>6.3467616654497663</v>
      </c>
      <c r="D2378" s="29">
        <f t="shared" si="78"/>
        <v>-1.0462516952181034E-4</v>
      </c>
    </row>
    <row r="2379" spans="1:4" x14ac:dyDescent="0.3">
      <c r="A2379" s="26">
        <v>45603</v>
      </c>
      <c r="B2379" s="27">
        <v>590.24346923828125</v>
      </c>
      <c r="C2379" s="27">
        <f t="shared" si="77"/>
        <v>6.3805351115050577</v>
      </c>
      <c r="D2379" s="29">
        <f t="shared" si="78"/>
        <v>5.321366680451467E-3</v>
      </c>
    </row>
    <row r="2380" spans="1:4" x14ac:dyDescent="0.3">
      <c r="A2380" s="26">
        <v>45604</v>
      </c>
      <c r="B2380" s="27">
        <v>587.8892822265625</v>
      </c>
      <c r="C2380" s="27">
        <f t="shared" si="77"/>
        <v>6.3765386346357404</v>
      </c>
      <c r="D2380" s="29">
        <f t="shared" si="78"/>
        <v>-6.2635449840420243E-4</v>
      </c>
    </row>
    <row r="2381" spans="1:4" x14ac:dyDescent="0.3">
      <c r="A2381" s="26">
        <v>45607</v>
      </c>
      <c r="B2381" s="27">
        <v>581.73443603515625</v>
      </c>
      <c r="C2381" s="27">
        <f t="shared" si="77"/>
        <v>6.3660140481247405</v>
      </c>
      <c r="D2381" s="29">
        <f t="shared" si="78"/>
        <v>-1.6505171714686906E-3</v>
      </c>
    </row>
    <row r="2382" spans="1:4" x14ac:dyDescent="0.3">
      <c r="A2382" s="26">
        <v>45608</v>
      </c>
      <c r="B2382" s="27">
        <v>583.38037109375</v>
      </c>
      <c r="C2382" s="27">
        <f t="shared" si="77"/>
        <v>6.3688394111592439</v>
      </c>
      <c r="D2382" s="29">
        <f t="shared" si="78"/>
        <v>4.4381979259622284E-4</v>
      </c>
    </row>
    <row r="2383" spans="1:4" x14ac:dyDescent="0.3">
      <c r="A2383" s="26">
        <v>45609</v>
      </c>
      <c r="B2383" s="27">
        <v>578.572265625</v>
      </c>
      <c r="C2383" s="27">
        <f t="shared" si="77"/>
        <v>6.360563457803484</v>
      </c>
      <c r="D2383" s="29">
        <f t="shared" si="78"/>
        <v>-1.299444501812852E-3</v>
      </c>
    </row>
    <row r="2384" spans="1:4" x14ac:dyDescent="0.3">
      <c r="A2384" s="26">
        <v>45610</v>
      </c>
      <c r="B2384" s="27">
        <v>575.73919677734375</v>
      </c>
      <c r="C2384" s="27">
        <f t="shared" si="77"/>
        <v>6.3556547747858803</v>
      </c>
      <c r="D2384" s="29">
        <f t="shared" si="78"/>
        <v>-7.7173713463729587E-4</v>
      </c>
    </row>
    <row r="2385" spans="1:4" x14ac:dyDescent="0.3">
      <c r="A2385" s="26">
        <v>45611</v>
      </c>
      <c r="B2385" s="27">
        <v>552.71600341796875</v>
      </c>
      <c r="C2385" s="27">
        <f t="shared" si="77"/>
        <v>6.3148443134009753</v>
      </c>
      <c r="D2385" s="29">
        <f t="shared" si="78"/>
        <v>-6.4211261987998647E-3</v>
      </c>
    </row>
    <row r="2386" spans="1:4" x14ac:dyDescent="0.3">
      <c r="A2386" s="26">
        <v>45614</v>
      </c>
      <c r="B2386" s="27">
        <v>553.03521728515625</v>
      </c>
      <c r="C2386" s="27">
        <f t="shared" si="77"/>
        <v>6.3154216835545478</v>
      </c>
      <c r="D2386" s="29">
        <f t="shared" si="78"/>
        <v>9.1430623609722872E-5</v>
      </c>
    </row>
    <row r="2387" spans="1:4" x14ac:dyDescent="0.3">
      <c r="A2387" s="26">
        <v>45615</v>
      </c>
      <c r="B2387" s="27">
        <v>559.70880126953125</v>
      </c>
      <c r="C2387" s="27">
        <f t="shared" si="77"/>
        <v>6.3274166507505072</v>
      </c>
      <c r="D2387" s="29">
        <f t="shared" si="78"/>
        <v>1.8993137429277329E-3</v>
      </c>
    </row>
    <row r="2388" spans="1:4" x14ac:dyDescent="0.3">
      <c r="A2388" s="26">
        <v>45616</v>
      </c>
      <c r="B2388" s="27">
        <v>564.12786865234375</v>
      </c>
      <c r="C2388" s="27">
        <f t="shared" si="77"/>
        <v>6.3352809432702317</v>
      </c>
      <c r="D2388" s="29">
        <f t="shared" si="78"/>
        <v>1.242891523318912E-3</v>
      </c>
    </row>
    <row r="2389" spans="1:4" x14ac:dyDescent="0.3">
      <c r="A2389" s="26">
        <v>45617</v>
      </c>
      <c r="B2389" s="27">
        <v>561.70391845703125</v>
      </c>
      <c r="C2389" s="27">
        <f t="shared" si="77"/>
        <v>6.3309748755814059</v>
      </c>
      <c r="D2389" s="29">
        <f t="shared" si="78"/>
        <v>-6.79696406108099E-4</v>
      </c>
    </row>
    <row r="2390" spans="1:4" x14ac:dyDescent="0.3">
      <c r="A2390" s="26">
        <v>45618</v>
      </c>
      <c r="B2390" s="27">
        <v>557.76361083984375</v>
      </c>
      <c r="C2390" s="27">
        <f t="shared" si="77"/>
        <v>6.3239352361342878</v>
      </c>
      <c r="D2390" s="29">
        <f t="shared" si="78"/>
        <v>-1.1119360896960639E-3</v>
      </c>
    </row>
    <row r="2391" spans="1:4" x14ac:dyDescent="0.3">
      <c r="A2391" s="26">
        <v>45621</v>
      </c>
      <c r="B2391" s="27">
        <v>563.71881103515625</v>
      </c>
      <c r="C2391" s="27">
        <f t="shared" si="77"/>
        <v>6.3345555651803007</v>
      </c>
      <c r="D2391" s="29">
        <f t="shared" si="78"/>
        <v>1.6793861178920899E-3</v>
      </c>
    </row>
    <row r="2392" spans="1:4" x14ac:dyDescent="0.3">
      <c r="A2392" s="26">
        <v>45622</v>
      </c>
      <c r="B2392" s="27">
        <v>572.12811279296875</v>
      </c>
      <c r="C2392" s="27">
        <f t="shared" si="77"/>
        <v>6.3493629397157783</v>
      </c>
      <c r="D2392" s="29">
        <f t="shared" si="78"/>
        <v>2.3375553948679073E-3</v>
      </c>
    </row>
    <row r="2393" spans="1:4" x14ac:dyDescent="0.3">
      <c r="A2393" s="26">
        <v>45623</v>
      </c>
      <c r="B2393" s="27">
        <v>567.798828125</v>
      </c>
      <c r="C2393" s="27">
        <f t="shared" si="77"/>
        <v>6.3417671801498088</v>
      </c>
      <c r="D2393" s="29">
        <f t="shared" si="78"/>
        <v>-1.1963026272222566E-3</v>
      </c>
    </row>
    <row r="2394" spans="1:4" x14ac:dyDescent="0.3">
      <c r="A2394" s="26">
        <v>45625</v>
      </c>
      <c r="B2394" s="27">
        <v>572.90618896484375</v>
      </c>
      <c r="C2394" s="27">
        <f t="shared" si="77"/>
        <v>6.3507219842272651</v>
      </c>
      <c r="D2394" s="29">
        <f t="shared" si="78"/>
        <v>1.4120360812812649E-3</v>
      </c>
    </row>
    <row r="2395" spans="1:4" x14ac:dyDescent="0.3">
      <c r="A2395" s="26">
        <v>45628</v>
      </c>
      <c r="B2395" s="27">
        <v>591.37066650390625</v>
      </c>
      <c r="C2395" s="27">
        <f t="shared" si="77"/>
        <v>6.3824430060934025</v>
      </c>
      <c r="D2395" s="29">
        <f t="shared" si="78"/>
        <v>4.9948686062655234E-3</v>
      </c>
    </row>
    <row r="2396" spans="1:4" x14ac:dyDescent="0.3">
      <c r="A2396" s="26">
        <v>45629</v>
      </c>
      <c r="B2396" s="27">
        <v>612.139404296875</v>
      </c>
      <c r="C2396" s="27">
        <f t="shared" si="77"/>
        <v>6.4169600413721231</v>
      </c>
      <c r="D2396" s="29">
        <f t="shared" si="78"/>
        <v>5.4081227589133363E-3</v>
      </c>
    </row>
    <row r="2397" spans="1:4" x14ac:dyDescent="0.3">
      <c r="A2397" s="26">
        <v>45630</v>
      </c>
      <c r="B2397" s="27">
        <v>612.26904296875</v>
      </c>
      <c r="C2397" s="27">
        <f t="shared" si="77"/>
        <v>6.4171717986050121</v>
      </c>
      <c r="D2397" s="29">
        <f t="shared" si="78"/>
        <v>3.2999618436724276E-5</v>
      </c>
    </row>
    <row r="2398" spans="1:4" x14ac:dyDescent="0.3">
      <c r="A2398" s="26">
        <v>45631</v>
      </c>
      <c r="B2398" s="27">
        <v>607.4310302734375</v>
      </c>
      <c r="C2398" s="27">
        <f t="shared" si="77"/>
        <v>6.4092386383555437</v>
      </c>
      <c r="D2398" s="29">
        <f t="shared" si="78"/>
        <v>-1.2362393431936125E-3</v>
      </c>
    </row>
    <row r="2399" spans="1:4" x14ac:dyDescent="0.3">
      <c r="A2399" s="26">
        <v>45632</v>
      </c>
      <c r="B2399" s="27">
        <v>622.23455810546875</v>
      </c>
      <c r="C2399" s="27">
        <f t="shared" si="77"/>
        <v>6.4333171247171439</v>
      </c>
      <c r="D2399" s="29">
        <f t="shared" si="78"/>
        <v>3.7568403550314322E-3</v>
      </c>
    </row>
    <row r="2400" spans="1:4" x14ac:dyDescent="0.3">
      <c r="A2400" s="26">
        <v>45635</v>
      </c>
      <c r="B2400" s="27">
        <v>612.0595703125</v>
      </c>
      <c r="C2400" s="27">
        <f t="shared" si="77"/>
        <v>6.4168296148873045</v>
      </c>
      <c r="D2400" s="29">
        <f t="shared" si="78"/>
        <v>-2.5628318191394106E-3</v>
      </c>
    </row>
    <row r="2401" spans="1:4" x14ac:dyDescent="0.3">
      <c r="A2401" s="26">
        <v>45636</v>
      </c>
      <c r="B2401" s="27">
        <v>617.79541015625</v>
      </c>
      <c r="C2401" s="27">
        <f t="shared" si="77"/>
        <v>6.4261573511209331</v>
      </c>
      <c r="D2401" s="29">
        <f t="shared" si="78"/>
        <v>1.4536362648600587E-3</v>
      </c>
    </row>
    <row r="2402" spans="1:4" x14ac:dyDescent="0.3">
      <c r="A2402" s="26">
        <v>45637</v>
      </c>
      <c r="B2402" s="27">
        <v>631.12249755859375</v>
      </c>
      <c r="C2402" s="27">
        <f t="shared" si="77"/>
        <v>6.4474999761224465</v>
      </c>
      <c r="D2402" s="29">
        <f t="shared" si="78"/>
        <v>3.3212110808009676E-3</v>
      </c>
    </row>
    <row r="2403" spans="1:4" x14ac:dyDescent="0.3">
      <c r="A2403" s="26">
        <v>45638</v>
      </c>
      <c r="B2403" s="27">
        <v>629.2371826171875</v>
      </c>
      <c r="C2403" s="27">
        <f t="shared" si="77"/>
        <v>6.4445082645067169</v>
      </c>
      <c r="D2403" s="29">
        <f t="shared" si="78"/>
        <v>-4.6401110923754985E-4</v>
      </c>
    </row>
    <row r="2404" spans="1:4" x14ac:dyDescent="0.3">
      <c r="A2404" s="26">
        <v>45639</v>
      </c>
      <c r="B2404" s="27">
        <v>618.8228759765625</v>
      </c>
      <c r="C2404" s="27">
        <f t="shared" si="77"/>
        <v>6.4278190863035167</v>
      </c>
      <c r="D2404" s="29">
        <f t="shared" si="78"/>
        <v>-2.5896744201751032E-3</v>
      </c>
    </row>
    <row r="2405" spans="1:4" x14ac:dyDescent="0.3">
      <c r="A2405" s="26">
        <v>45642</v>
      </c>
      <c r="B2405" s="27">
        <v>623.20562744140625</v>
      </c>
      <c r="C2405" s="27">
        <f t="shared" si="77"/>
        <v>6.4348765244281667</v>
      </c>
      <c r="D2405" s="29">
        <f t="shared" si="78"/>
        <v>1.0979522027445565E-3</v>
      </c>
    </row>
    <row r="2406" spans="1:4" x14ac:dyDescent="0.3">
      <c r="A2406" s="26">
        <v>45643</v>
      </c>
      <c r="B2406" s="27">
        <v>618.41357421875</v>
      </c>
      <c r="C2406" s="27">
        <f t="shared" si="77"/>
        <v>6.427157447580087</v>
      </c>
      <c r="D2406" s="29">
        <f t="shared" si="78"/>
        <v>-1.1995687592102344E-3</v>
      </c>
    </row>
    <row r="2407" spans="1:4" x14ac:dyDescent="0.3">
      <c r="A2407" s="26">
        <v>45644</v>
      </c>
      <c r="B2407" s="27">
        <v>596.200439453125</v>
      </c>
      <c r="C2407" s="27">
        <f t="shared" si="77"/>
        <v>6.3905769183338119</v>
      </c>
      <c r="D2407" s="29">
        <f t="shared" si="78"/>
        <v>-5.6915564220459958E-3</v>
      </c>
    </row>
    <row r="2408" spans="1:4" x14ac:dyDescent="0.3">
      <c r="A2408" s="26">
        <v>45645</v>
      </c>
      <c r="B2408" s="27">
        <v>594.5831298828125</v>
      </c>
      <c r="C2408" s="27">
        <f t="shared" si="77"/>
        <v>6.3878605379496127</v>
      </c>
      <c r="D2408" s="29">
        <f t="shared" si="78"/>
        <v>-4.2506027529476409E-4</v>
      </c>
    </row>
    <row r="2409" spans="1:4" x14ac:dyDescent="0.3">
      <c r="A2409" s="26">
        <v>45646</v>
      </c>
      <c r="B2409" s="27">
        <v>584.28021240234375</v>
      </c>
      <c r="C2409" s="27">
        <f t="shared" si="77"/>
        <v>6.3703806835108931</v>
      </c>
      <c r="D2409" s="29">
        <f t="shared" si="78"/>
        <v>-2.7364176683059016E-3</v>
      </c>
    </row>
    <row r="2410" spans="1:4" x14ac:dyDescent="0.3">
      <c r="A2410" s="26">
        <v>45649</v>
      </c>
      <c r="B2410" s="27">
        <v>598.85601806640625</v>
      </c>
      <c r="C2410" s="27">
        <f t="shared" si="77"/>
        <v>6.3950211987149945</v>
      </c>
      <c r="D2410" s="29">
        <f t="shared" si="78"/>
        <v>3.8679815898414738E-3</v>
      </c>
    </row>
    <row r="2411" spans="1:4" x14ac:dyDescent="0.3">
      <c r="A2411" s="26">
        <v>45650</v>
      </c>
      <c r="B2411" s="27">
        <v>606.742919921875</v>
      </c>
      <c r="C2411" s="27">
        <f t="shared" si="77"/>
        <v>6.4081051756830458</v>
      </c>
      <c r="D2411" s="29">
        <f t="shared" si="78"/>
        <v>2.0459630330358358E-3</v>
      </c>
    </row>
    <row r="2412" spans="1:4" x14ac:dyDescent="0.3">
      <c r="A2412" s="26">
        <v>45652</v>
      </c>
      <c r="B2412" s="27">
        <v>602.3502197265625</v>
      </c>
      <c r="C2412" s="27">
        <f t="shared" si="77"/>
        <v>6.4008390364950021</v>
      </c>
      <c r="D2412" s="29">
        <f t="shared" si="78"/>
        <v>-1.1338982411862597E-3</v>
      </c>
    </row>
    <row r="2413" spans="1:4" x14ac:dyDescent="0.3">
      <c r="A2413" s="26">
        <v>45653</v>
      </c>
      <c r="B2413" s="27">
        <v>598.8160400390625</v>
      </c>
      <c r="C2413" s="27">
        <f t="shared" si="77"/>
        <v>6.3949544391590907</v>
      </c>
      <c r="D2413" s="29">
        <f t="shared" si="78"/>
        <v>-9.1934780774205471E-4</v>
      </c>
    </row>
    <row r="2414" spans="1:4" x14ac:dyDescent="0.3">
      <c r="A2414" s="26">
        <v>45656</v>
      </c>
      <c r="B2414" s="27">
        <v>590.26025390625</v>
      </c>
      <c r="C2414" s="27">
        <f t="shared" si="77"/>
        <v>6.3805635479557701</v>
      </c>
      <c r="D2414" s="29">
        <f t="shared" si="78"/>
        <v>-2.2503508571067865E-3</v>
      </c>
    </row>
    <row r="2415" spans="1:4" x14ac:dyDescent="0.3">
      <c r="A2415" s="26">
        <v>45657</v>
      </c>
      <c r="B2415" s="27">
        <v>584.539794921875</v>
      </c>
      <c r="C2415" s="27">
        <f t="shared" si="77"/>
        <v>6.3708248622932073</v>
      </c>
      <c r="D2415" s="29">
        <f t="shared" si="78"/>
        <v>-1.5263049398955841E-3</v>
      </c>
    </row>
    <row r="2416" spans="1:4" x14ac:dyDescent="0.3">
      <c r="A2416" s="26">
        <v>45659</v>
      </c>
      <c r="B2416" s="27">
        <v>598.2470703125</v>
      </c>
      <c r="C2416" s="27">
        <f t="shared" si="77"/>
        <v>6.3940038296807957</v>
      </c>
      <c r="D2416" s="29">
        <f t="shared" si="78"/>
        <v>3.638299260866118E-3</v>
      </c>
    </row>
    <row r="2417" spans="1:4" x14ac:dyDescent="0.3">
      <c r="A2417" s="26">
        <v>45660</v>
      </c>
      <c r="B2417" s="27">
        <v>603.62811279296875</v>
      </c>
      <c r="C2417" s="27">
        <f t="shared" si="77"/>
        <v>6.4029583010128279</v>
      </c>
      <c r="D2417" s="29">
        <f t="shared" si="78"/>
        <v>1.4004482278326957E-3</v>
      </c>
    </row>
    <row r="2418" spans="1:4" x14ac:dyDescent="0.3">
      <c r="A2418" s="26">
        <v>45663</v>
      </c>
      <c r="B2418" s="27">
        <v>629.15576171875</v>
      </c>
      <c r="C2418" s="27">
        <f t="shared" si="77"/>
        <v>6.4443788599373129</v>
      </c>
      <c r="D2418" s="29">
        <f t="shared" si="78"/>
        <v>6.4689721496284935E-3</v>
      </c>
    </row>
    <row r="2419" spans="1:4" x14ac:dyDescent="0.3">
      <c r="A2419" s="26">
        <v>45664</v>
      </c>
      <c r="B2419" s="27">
        <v>616.86614990234375</v>
      </c>
      <c r="C2419" s="27">
        <f t="shared" si="77"/>
        <v>6.4246520634219646</v>
      </c>
      <c r="D2419" s="29">
        <f t="shared" si="78"/>
        <v>-3.0610857840751571E-3</v>
      </c>
    </row>
    <row r="2420" spans="1:4" x14ac:dyDescent="0.3">
      <c r="A2420" s="26">
        <v>45665</v>
      </c>
      <c r="B2420" s="27">
        <v>609.7080078125</v>
      </c>
      <c r="C2420" s="27">
        <f t="shared" si="77"/>
        <v>6.4129801668483495</v>
      </c>
      <c r="D2420" s="29">
        <f t="shared" si="78"/>
        <v>-1.8167359817145012E-3</v>
      </c>
    </row>
    <row r="2421" spans="1:4" x14ac:dyDescent="0.3">
      <c r="A2421" s="26">
        <v>45667</v>
      </c>
      <c r="B2421" s="27">
        <v>614.8394775390625</v>
      </c>
      <c r="C2421" s="27">
        <f t="shared" si="77"/>
        <v>6.4213612216053173</v>
      </c>
      <c r="D2421" s="29">
        <f t="shared" si="78"/>
        <v>1.3068892369718643E-3</v>
      </c>
    </row>
    <row r="2422" spans="1:4" x14ac:dyDescent="0.3">
      <c r="A2422" s="26">
        <v>45670</v>
      </c>
      <c r="B2422" s="27">
        <v>607.32196044921875</v>
      </c>
      <c r="C2422" s="27">
        <f t="shared" si="77"/>
        <v>6.4090590630421342</v>
      </c>
      <c r="D2422" s="29">
        <f t="shared" si="78"/>
        <v>-1.9158178676806914E-3</v>
      </c>
    </row>
    <row r="2423" spans="1:4" x14ac:dyDescent="0.3">
      <c r="A2423" s="26">
        <v>45671</v>
      </c>
      <c r="B2423" s="27">
        <v>593.2652587890625</v>
      </c>
      <c r="C2423" s="27">
        <f t="shared" si="77"/>
        <v>6.3856416156577742</v>
      </c>
      <c r="D2423" s="29">
        <f t="shared" si="78"/>
        <v>-3.6538042720493102E-3</v>
      </c>
    </row>
    <row r="2424" spans="1:4" x14ac:dyDescent="0.3">
      <c r="A2424" s="26">
        <v>45672</v>
      </c>
      <c r="B2424" s="27">
        <v>616.09735107421875</v>
      </c>
      <c r="C2424" s="27">
        <f t="shared" si="77"/>
        <v>6.4234049885050633</v>
      </c>
      <c r="D2424" s="29">
        <f t="shared" si="78"/>
        <v>5.9137945910856526E-3</v>
      </c>
    </row>
    <row r="2425" spans="1:4" x14ac:dyDescent="0.3">
      <c r="A2425" s="26">
        <v>45673</v>
      </c>
      <c r="B2425" s="27">
        <v>610.28704833984375</v>
      </c>
      <c r="C2425" s="27">
        <f t="shared" si="77"/>
        <v>6.4139294175324464</v>
      </c>
      <c r="D2425" s="29">
        <f t="shared" si="78"/>
        <v>-1.475163249020417E-3</v>
      </c>
    </row>
    <row r="2426" spans="1:4" x14ac:dyDescent="0.3">
      <c r="A2426" s="26">
        <v>45674</v>
      </c>
      <c r="B2426" s="27">
        <v>611.754638671875</v>
      </c>
      <c r="C2426" s="27">
        <f t="shared" si="77"/>
        <v>6.4163312849207186</v>
      </c>
      <c r="D2426" s="29">
        <f t="shared" si="78"/>
        <v>3.7447674146617871E-4</v>
      </c>
    </row>
    <row r="2427" spans="1:4" x14ac:dyDescent="0.3">
      <c r="A2427" s="26">
        <v>45678</v>
      </c>
      <c r="B2427" s="27">
        <v>615.43853759765625</v>
      </c>
      <c r="C2427" s="27">
        <f t="shared" si="77"/>
        <v>6.4223350829579049</v>
      </c>
      <c r="D2427" s="29">
        <f t="shared" si="78"/>
        <v>9.357057437628935E-4</v>
      </c>
    </row>
    <row r="2428" spans="1:4" x14ac:dyDescent="0.3">
      <c r="A2428" s="26">
        <v>45679</v>
      </c>
      <c r="B2428" s="27">
        <v>622.46685791015625</v>
      </c>
      <c r="C2428" s="27">
        <f t="shared" si="77"/>
        <v>6.4336903866165773</v>
      </c>
      <c r="D2428" s="29">
        <f t="shared" si="78"/>
        <v>1.7680957956871524E-3</v>
      </c>
    </row>
    <row r="2429" spans="1:4" x14ac:dyDescent="0.3">
      <c r="A2429" s="26">
        <v>45680</v>
      </c>
      <c r="B2429" s="27">
        <v>635.3953857421875</v>
      </c>
      <c r="C2429" s="27">
        <f t="shared" si="77"/>
        <v>6.4542474598357824</v>
      </c>
      <c r="D2429" s="29">
        <f t="shared" si="78"/>
        <v>3.1952226457723221E-3</v>
      </c>
    </row>
    <row r="2430" spans="1:4" x14ac:dyDescent="0.3">
      <c r="A2430" s="26">
        <v>45681</v>
      </c>
      <c r="B2430" s="27">
        <v>646.4171142578125</v>
      </c>
      <c r="C2430" s="27">
        <f t="shared" si="77"/>
        <v>6.4714449831215761</v>
      </c>
      <c r="D2430" s="29">
        <f t="shared" si="78"/>
        <v>2.664528032557234E-3</v>
      </c>
    </row>
    <row r="2431" spans="1:4" x14ac:dyDescent="0.3">
      <c r="A2431" s="26">
        <v>45684</v>
      </c>
      <c r="B2431" s="27">
        <v>658.78656005859375</v>
      </c>
      <c r="C2431" s="27">
        <f t="shared" si="77"/>
        <v>6.490399597455732</v>
      </c>
      <c r="D2431" s="29">
        <f t="shared" si="78"/>
        <v>2.9289616744934133E-3</v>
      </c>
    </row>
    <row r="2432" spans="1:4" x14ac:dyDescent="0.3">
      <c r="A2432" s="26">
        <v>45685</v>
      </c>
      <c r="B2432" s="27">
        <v>673.212646484375</v>
      </c>
      <c r="C2432" s="27">
        <f t="shared" si="77"/>
        <v>6.5120612477676172</v>
      </c>
      <c r="D2432" s="29">
        <f t="shared" si="78"/>
        <v>3.3374910106269695E-3</v>
      </c>
    </row>
    <row r="2433" spans="1:4" x14ac:dyDescent="0.3">
      <c r="A2433" s="26">
        <v>45686</v>
      </c>
      <c r="B2433" s="27">
        <v>675.3690185546875</v>
      </c>
      <c r="C2433" s="27">
        <f t="shared" si="77"/>
        <v>6.5152592356448151</v>
      </c>
      <c r="D2433" s="29">
        <f t="shared" si="78"/>
        <v>4.9108688563004321E-4</v>
      </c>
    </row>
    <row r="2434" spans="1:4" x14ac:dyDescent="0.3">
      <c r="A2434" s="26">
        <v>45687</v>
      </c>
      <c r="B2434" s="27">
        <v>685.86163330078125</v>
      </c>
      <c r="C2434" s="27">
        <f t="shared" si="77"/>
        <v>6.5306759066538334</v>
      </c>
      <c r="D2434" s="29">
        <f t="shared" si="78"/>
        <v>2.3662406132167746E-3</v>
      </c>
    </row>
    <row r="2435" spans="1:4" x14ac:dyDescent="0.3">
      <c r="A2435" s="26">
        <v>45688</v>
      </c>
      <c r="B2435" s="27">
        <v>688.03802490234375</v>
      </c>
      <c r="C2435" s="27">
        <f t="shared" ref="C2435:C2498" si="79">LN(B2435)</f>
        <v>6.5338441051594893</v>
      </c>
      <c r="D2435" s="29">
        <f t="shared" si="78"/>
        <v>4.851256670734827E-4</v>
      </c>
    </row>
    <row r="2436" spans="1:4" x14ac:dyDescent="0.3">
      <c r="A2436" s="26">
        <v>45691</v>
      </c>
      <c r="B2436" s="27">
        <v>696.30426025390625</v>
      </c>
      <c r="C2436" s="27">
        <f t="shared" si="79"/>
        <v>6.5457867203469977</v>
      </c>
      <c r="D2436" s="29">
        <f t="shared" ref="D2436:D2499" si="80">C2436/C2435-1</f>
        <v>1.8278084073168888E-3</v>
      </c>
    </row>
    <row r="2437" spans="1:4" x14ac:dyDescent="0.3">
      <c r="A2437" s="26">
        <v>45692</v>
      </c>
      <c r="B2437" s="27">
        <v>703.02313232421875</v>
      </c>
      <c r="C2437" s="27">
        <f t="shared" si="79"/>
        <v>6.555389796424663</v>
      </c>
      <c r="D2437" s="29">
        <f t="shared" si="80"/>
        <v>1.4670621711236898E-3</v>
      </c>
    </row>
    <row r="2438" spans="1:4" x14ac:dyDescent="0.3">
      <c r="A2438" s="26">
        <v>45693</v>
      </c>
      <c r="B2438" s="27">
        <v>703.7020263671875</v>
      </c>
      <c r="C2438" s="27">
        <f t="shared" si="79"/>
        <v>6.5563550085579374</v>
      </c>
      <c r="D2438" s="29">
        <f t="shared" si="80"/>
        <v>1.4723947213646227E-4</v>
      </c>
    </row>
    <row r="2439" spans="1:4" x14ac:dyDescent="0.3">
      <c r="A2439" s="26">
        <v>45694</v>
      </c>
      <c r="B2439" s="27">
        <v>710.8101806640625</v>
      </c>
      <c r="C2439" s="27">
        <f t="shared" si="79"/>
        <v>6.566405419002999</v>
      </c>
      <c r="D2439" s="29">
        <f t="shared" si="80"/>
        <v>1.5329265166303951E-3</v>
      </c>
    </row>
    <row r="2440" spans="1:4" x14ac:dyDescent="0.3">
      <c r="A2440" s="26">
        <v>45695</v>
      </c>
      <c r="B2440" s="27">
        <v>713.33599853515625</v>
      </c>
      <c r="C2440" s="27">
        <f t="shared" si="79"/>
        <v>6.5699525556050453</v>
      </c>
      <c r="D2440" s="29">
        <f t="shared" si="80"/>
        <v>5.4019457765752676E-4</v>
      </c>
    </row>
    <row r="2441" spans="1:4" x14ac:dyDescent="0.3">
      <c r="A2441" s="26">
        <v>45698</v>
      </c>
      <c r="B2441" s="27">
        <v>716.21124267578125</v>
      </c>
      <c r="C2441" s="27">
        <f t="shared" si="79"/>
        <v>6.5739751551174459</v>
      </c>
      <c r="D2441" s="29">
        <f t="shared" si="80"/>
        <v>6.1227223155047028E-4</v>
      </c>
    </row>
    <row r="2442" spans="1:4" x14ac:dyDescent="0.3">
      <c r="A2442" s="26">
        <v>45699</v>
      </c>
      <c r="B2442" s="27">
        <v>718.60723876953125</v>
      </c>
      <c r="C2442" s="27">
        <f t="shared" si="79"/>
        <v>6.5773149480624848</v>
      </c>
      <c r="D2442" s="29">
        <f t="shared" si="80"/>
        <v>5.0803248662090184E-4</v>
      </c>
    </row>
    <row r="2443" spans="1:4" x14ac:dyDescent="0.3">
      <c r="A2443" s="26">
        <v>45700</v>
      </c>
      <c r="B2443" s="27">
        <v>724.17803955078125</v>
      </c>
      <c r="C2443" s="27">
        <f t="shared" si="79"/>
        <v>6.5850372731363089</v>
      </c>
      <c r="D2443" s="29">
        <f t="shared" si="80"/>
        <v>1.1740847343943983E-3</v>
      </c>
    </row>
    <row r="2444" spans="1:4" x14ac:dyDescent="0.3">
      <c r="A2444" s="26">
        <v>45701</v>
      </c>
      <c r="B2444" s="27">
        <v>727.352783203125</v>
      </c>
      <c r="C2444" s="27">
        <f t="shared" si="79"/>
        <v>6.5894116187098817</v>
      </c>
      <c r="D2444" s="29">
        <f t="shared" si="80"/>
        <v>6.6428562089049237E-4</v>
      </c>
    </row>
    <row r="2445" spans="1:4" x14ac:dyDescent="0.3">
      <c r="A2445" s="26">
        <v>45702</v>
      </c>
      <c r="B2445" s="27">
        <v>735.44927978515625</v>
      </c>
      <c r="C2445" s="27">
        <f t="shared" si="79"/>
        <v>6.6004815774802932</v>
      </c>
      <c r="D2445" s="29">
        <f t="shared" si="80"/>
        <v>1.6799616431579789E-3</v>
      </c>
    </row>
    <row r="2446" spans="1:4" x14ac:dyDescent="0.3">
      <c r="A2446" s="26">
        <v>45706</v>
      </c>
      <c r="B2446" s="27">
        <v>715.18292236328125</v>
      </c>
      <c r="C2446" s="27">
        <f t="shared" si="79"/>
        <v>6.572538345446814</v>
      </c>
      <c r="D2446" s="29">
        <f t="shared" si="80"/>
        <v>-4.2335141315773539E-3</v>
      </c>
    </row>
    <row r="2447" spans="1:4" x14ac:dyDescent="0.3">
      <c r="A2447" s="26">
        <v>45707</v>
      </c>
      <c r="B2447" s="27">
        <v>702.6038818359375</v>
      </c>
      <c r="C2447" s="27">
        <f t="shared" si="79"/>
        <v>6.5547932647750997</v>
      </c>
      <c r="D2447" s="29">
        <f t="shared" si="80"/>
        <v>-2.6998824105769481E-3</v>
      </c>
    </row>
    <row r="2448" spans="1:4" x14ac:dyDescent="0.3">
      <c r="A2448" s="26">
        <v>45708</v>
      </c>
      <c r="B2448" s="27">
        <v>693.6885986328125</v>
      </c>
      <c r="C2448" s="27">
        <f t="shared" si="79"/>
        <v>6.5420231546684899</v>
      </c>
      <c r="D2448" s="29">
        <f t="shared" si="80"/>
        <v>-1.9482094386157334E-3</v>
      </c>
    </row>
    <row r="2449" spans="1:4" x14ac:dyDescent="0.3">
      <c r="A2449" s="26">
        <v>45709</v>
      </c>
      <c r="B2449" s="27">
        <v>682.4173583984375</v>
      </c>
      <c r="C2449" s="27">
        <f t="shared" si="79"/>
        <v>6.5256414331318453</v>
      </c>
      <c r="D2449" s="29">
        <f t="shared" si="80"/>
        <v>-2.5040757498625554E-3</v>
      </c>
    </row>
    <row r="2450" spans="1:4" x14ac:dyDescent="0.3">
      <c r="A2450" s="26">
        <v>45712</v>
      </c>
      <c r="B2450" s="27">
        <v>667.02288818359375</v>
      </c>
      <c r="C2450" s="27">
        <f t="shared" si="79"/>
        <v>6.5028243604447056</v>
      </c>
      <c r="D2450" s="29">
        <f t="shared" si="80"/>
        <v>-3.4965256551322543E-3</v>
      </c>
    </row>
    <row r="2451" spans="1:4" x14ac:dyDescent="0.3">
      <c r="A2451" s="26">
        <v>45713</v>
      </c>
      <c r="B2451" s="27">
        <v>656.4105224609375</v>
      </c>
      <c r="C2451" s="27">
        <f t="shared" si="79"/>
        <v>6.4867863896495095</v>
      </c>
      <c r="D2451" s="29">
        <f t="shared" si="80"/>
        <v>-2.4663084694016568E-3</v>
      </c>
    </row>
    <row r="2452" spans="1:4" x14ac:dyDescent="0.3">
      <c r="A2452" s="26">
        <v>45714</v>
      </c>
      <c r="B2452" s="27">
        <v>672.58367919921875</v>
      </c>
      <c r="C2452" s="27">
        <f t="shared" si="79"/>
        <v>6.5111265337712325</v>
      </c>
      <c r="D2452" s="29">
        <f t="shared" si="80"/>
        <v>3.7522653991752808E-3</v>
      </c>
    </row>
    <row r="2453" spans="1:4" x14ac:dyDescent="0.3">
      <c r="A2453" s="26">
        <v>45715</v>
      </c>
      <c r="B2453" s="27">
        <v>657.14923095703125</v>
      </c>
      <c r="C2453" s="27">
        <f t="shared" si="79"/>
        <v>6.487911132657274</v>
      </c>
      <c r="D2453" s="29">
        <f t="shared" si="80"/>
        <v>-3.5654968450616886E-3</v>
      </c>
    </row>
    <row r="2454" spans="1:4" x14ac:dyDescent="0.3">
      <c r="A2454" s="26">
        <v>45716</v>
      </c>
      <c r="B2454" s="27">
        <v>667.0927734375</v>
      </c>
      <c r="C2454" s="27">
        <f t="shared" si="79"/>
        <v>6.5029291268543661</v>
      </c>
      <c r="D2454" s="29">
        <f t="shared" si="80"/>
        <v>2.3147657065611948E-3</v>
      </c>
    </row>
    <row r="2455" spans="1:4" x14ac:dyDescent="0.3">
      <c r="A2455" s="26">
        <v>45719</v>
      </c>
      <c r="B2455" s="27">
        <v>653.964599609375</v>
      </c>
      <c r="C2455" s="27">
        <f t="shared" si="79"/>
        <v>6.4830532209545169</v>
      </c>
      <c r="D2455" s="29">
        <f t="shared" si="80"/>
        <v>-3.0564543319056003E-3</v>
      </c>
    </row>
    <row r="2456" spans="1:4" x14ac:dyDescent="0.3">
      <c r="A2456" s="26">
        <v>45720</v>
      </c>
      <c r="B2456" s="27">
        <v>638.93951416015625</v>
      </c>
      <c r="C2456" s="27">
        <f t="shared" si="79"/>
        <v>6.4598097928709164</v>
      </c>
      <c r="D2456" s="29">
        <f t="shared" si="80"/>
        <v>-3.5852594898454493E-3</v>
      </c>
    </row>
    <row r="2457" spans="1:4" x14ac:dyDescent="0.3">
      <c r="A2457" s="26">
        <v>45721</v>
      </c>
      <c r="B2457" s="27">
        <v>655.3822021484375</v>
      </c>
      <c r="C2457" s="27">
        <f t="shared" si="79"/>
        <v>6.4852185801871682</v>
      </c>
      <c r="D2457" s="29">
        <f t="shared" si="80"/>
        <v>3.9333646238768338E-3</v>
      </c>
    </row>
    <row r="2458" spans="1:4" x14ac:dyDescent="0.3">
      <c r="A2458" s="26">
        <v>45722</v>
      </c>
      <c r="B2458" s="27">
        <v>626.88946533203125</v>
      </c>
      <c r="C2458" s="27">
        <f t="shared" si="79"/>
        <v>6.4407702337553028</v>
      </c>
      <c r="D2458" s="29">
        <f t="shared" si="80"/>
        <v>-6.8537931115627559E-3</v>
      </c>
    </row>
    <row r="2459" spans="1:4" x14ac:dyDescent="0.3">
      <c r="A2459" s="26">
        <v>45723</v>
      </c>
      <c r="B2459" s="27">
        <v>624.62322998046875</v>
      </c>
      <c r="C2459" s="27">
        <f t="shared" si="79"/>
        <v>6.4371486359288648</v>
      </c>
      <c r="D2459" s="29">
        <f t="shared" si="80"/>
        <v>-5.6229265988372301E-4</v>
      </c>
    </row>
    <row r="2460" spans="1:4" x14ac:dyDescent="0.3">
      <c r="A2460" s="26">
        <v>45726</v>
      </c>
      <c r="B2460" s="27">
        <v>596.99908447265625</v>
      </c>
      <c r="C2460" s="27">
        <f t="shared" si="79"/>
        <v>6.3919155798447864</v>
      </c>
      <c r="D2460" s="29">
        <f t="shared" si="80"/>
        <v>-7.0268776817752343E-3</v>
      </c>
    </row>
    <row r="2461" spans="1:4" x14ac:dyDescent="0.3">
      <c r="A2461" s="26">
        <v>45727</v>
      </c>
      <c r="B2461" s="27">
        <v>604.70635986328125</v>
      </c>
      <c r="C2461" s="27">
        <f t="shared" si="79"/>
        <v>6.4047429846098058</v>
      </c>
      <c r="D2461" s="29">
        <f t="shared" si="80"/>
        <v>2.0068169869869035E-3</v>
      </c>
    </row>
    <row r="2462" spans="1:4" x14ac:dyDescent="0.3">
      <c r="A2462" s="26">
        <v>45728</v>
      </c>
      <c r="B2462" s="27">
        <v>618.53338623046875</v>
      </c>
      <c r="C2462" s="27">
        <f t="shared" si="79"/>
        <v>6.4273511697297412</v>
      </c>
      <c r="D2462" s="29">
        <f t="shared" si="80"/>
        <v>3.5299129370627291E-3</v>
      </c>
    </row>
    <row r="2463" spans="1:4" x14ac:dyDescent="0.3">
      <c r="A2463" s="26">
        <v>45729</v>
      </c>
      <c r="B2463" s="27">
        <v>589.66131591796875</v>
      </c>
      <c r="C2463" s="27">
        <f t="shared" si="79"/>
        <v>6.3795483312582526</v>
      </c>
      <c r="D2463" s="29">
        <f t="shared" si="80"/>
        <v>-7.4374088499505886E-3</v>
      </c>
    </row>
    <row r="2464" spans="1:4" x14ac:dyDescent="0.3">
      <c r="A2464" s="26">
        <v>45730</v>
      </c>
      <c r="B2464" s="27">
        <v>607.1328125</v>
      </c>
      <c r="C2464" s="27">
        <f t="shared" si="79"/>
        <v>6.4087475686086464</v>
      </c>
      <c r="D2464" s="29">
        <f t="shared" si="80"/>
        <v>4.5770069970823002E-3</v>
      </c>
    </row>
    <row r="2465" spans="1:4" x14ac:dyDescent="0.3">
      <c r="A2465" s="26">
        <v>45733</v>
      </c>
      <c r="B2465" s="27">
        <v>604.4349365234375</v>
      </c>
      <c r="C2465" s="27">
        <f t="shared" si="79"/>
        <v>6.404294032373679</v>
      </c>
      <c r="D2465" s="29">
        <f t="shared" si="80"/>
        <v>-6.9491522131126526E-4</v>
      </c>
    </row>
    <row r="2466" spans="1:4" x14ac:dyDescent="0.3">
      <c r="A2466" s="26">
        <v>45734</v>
      </c>
      <c r="B2466" s="27">
        <v>581.9122314453125</v>
      </c>
      <c r="C2466" s="27">
        <f t="shared" si="79"/>
        <v>6.3663196312824262</v>
      </c>
      <c r="D2466" s="29">
        <f t="shared" si="80"/>
        <v>-5.9295218019804752E-3</v>
      </c>
    </row>
    <row r="2467" spans="1:4" x14ac:dyDescent="0.3">
      <c r="A2467" s="26">
        <v>45735</v>
      </c>
      <c r="B2467" s="27">
        <v>583.6109619140625</v>
      </c>
      <c r="C2467" s="27">
        <f t="shared" si="79"/>
        <v>6.3692345997382702</v>
      </c>
      <c r="D2467" s="29">
        <f t="shared" si="80"/>
        <v>4.5787340640579544E-4</v>
      </c>
    </row>
    <row r="2468" spans="1:4" x14ac:dyDescent="0.3">
      <c r="A2468" s="26">
        <v>45736</v>
      </c>
      <c r="B2468" s="27">
        <v>585.5494384765625</v>
      </c>
      <c r="C2468" s="27">
        <f t="shared" si="79"/>
        <v>6.3725506175201563</v>
      </c>
      <c r="D2468" s="29">
        <f t="shared" si="80"/>
        <v>5.2063049805428641E-4</v>
      </c>
    </row>
    <row r="2469" spans="1:4" x14ac:dyDescent="0.3">
      <c r="A2469" s="26">
        <v>45737</v>
      </c>
      <c r="B2469" s="27">
        <v>595.79156494140625</v>
      </c>
      <c r="C2469" s="27">
        <f t="shared" si="79"/>
        <v>6.3898908826452372</v>
      </c>
      <c r="D2469" s="29">
        <f t="shared" si="80"/>
        <v>2.7210870757790051E-3</v>
      </c>
    </row>
    <row r="2470" spans="1:4" x14ac:dyDescent="0.3">
      <c r="A2470" s="26">
        <v>45740</v>
      </c>
      <c r="B2470" s="27">
        <v>618.37420654296875</v>
      </c>
      <c r="C2470" s="27">
        <f t="shared" si="79"/>
        <v>6.4270937864145958</v>
      </c>
      <c r="D2470" s="29">
        <f t="shared" si="80"/>
        <v>5.8221500887285504E-3</v>
      </c>
    </row>
    <row r="2471" spans="1:4" x14ac:dyDescent="0.3">
      <c r="A2471" s="26">
        <v>45741</v>
      </c>
      <c r="B2471" s="27">
        <v>625.8284912109375</v>
      </c>
      <c r="C2471" s="27">
        <f t="shared" si="79"/>
        <v>6.4390763578605217</v>
      </c>
      <c r="D2471" s="29">
        <f t="shared" si="80"/>
        <v>1.8643840970944403E-3</v>
      </c>
    </row>
    <row r="2472" spans="1:4" x14ac:dyDescent="0.3">
      <c r="A2472" s="26">
        <v>45742</v>
      </c>
      <c r="B2472" s="27">
        <v>610.51025390625</v>
      </c>
      <c r="C2472" s="27">
        <f t="shared" si="79"/>
        <v>6.4142950893249431</v>
      </c>
      <c r="D2472" s="29">
        <f t="shared" si="80"/>
        <v>-3.8485750375248928E-3</v>
      </c>
    </row>
    <row r="2473" spans="1:4" x14ac:dyDescent="0.3">
      <c r="A2473" s="26">
        <v>45743</v>
      </c>
      <c r="B2473" s="27">
        <v>602.11669921875</v>
      </c>
      <c r="C2473" s="27">
        <f t="shared" si="79"/>
        <v>6.400451279044689</v>
      </c>
      <c r="D2473" s="29">
        <f t="shared" si="80"/>
        <v>-2.1582746174702017E-3</v>
      </c>
    </row>
    <row r="2474" spans="1:4" x14ac:dyDescent="0.3">
      <c r="A2474" s="26">
        <v>45744</v>
      </c>
      <c r="B2474" s="27">
        <v>576.29656982421875</v>
      </c>
      <c r="C2474" s="27">
        <f t="shared" si="79"/>
        <v>6.3566224063586549</v>
      </c>
      <c r="D2474" s="29">
        <f t="shared" si="80"/>
        <v>-6.8477785042332373E-3</v>
      </c>
    </row>
    <row r="2475" spans="1:4" x14ac:dyDescent="0.3">
      <c r="A2475" s="26">
        <v>45747</v>
      </c>
      <c r="B2475" s="27">
        <v>575.9168701171875</v>
      </c>
      <c r="C2475" s="27">
        <f t="shared" si="79"/>
        <v>6.3559633275671503</v>
      </c>
      <c r="D2475" s="29">
        <f t="shared" si="80"/>
        <v>-1.0368380397196564E-4</v>
      </c>
    </row>
    <row r="2476" spans="1:4" x14ac:dyDescent="0.3">
      <c r="A2476" s="26">
        <v>45748</v>
      </c>
      <c r="B2476" s="27">
        <v>585.5494384765625</v>
      </c>
      <c r="C2476" s="27">
        <f t="shared" si="79"/>
        <v>6.3725506175201563</v>
      </c>
      <c r="D2476" s="29">
        <f t="shared" si="80"/>
        <v>2.6097208398077054E-3</v>
      </c>
    </row>
    <row r="2477" spans="1:4" x14ac:dyDescent="0.3">
      <c r="A2477" s="26">
        <v>45749</v>
      </c>
      <c r="B2477" s="27">
        <v>583.48101806640625</v>
      </c>
      <c r="C2477" s="27">
        <f t="shared" si="79"/>
        <v>6.3690119200344899</v>
      </c>
      <c r="D2477" s="29">
        <f t="shared" si="80"/>
        <v>-5.5530315850882417E-4</v>
      </c>
    </row>
    <row r="2478" spans="1:4" x14ac:dyDescent="0.3">
      <c r="A2478" s="26">
        <v>45750</v>
      </c>
      <c r="B2478" s="27">
        <v>531.21124267578125</v>
      </c>
      <c r="C2478" s="27">
        <f t="shared" si="79"/>
        <v>6.2751597626140487</v>
      </c>
      <c r="D2478" s="29">
        <f t="shared" si="80"/>
        <v>-1.4735748433005402E-2</v>
      </c>
    </row>
    <row r="2479" spans="1:4" x14ac:dyDescent="0.3">
      <c r="A2479" s="26">
        <v>45751</v>
      </c>
      <c r="B2479" s="27">
        <v>504.34194946289063</v>
      </c>
      <c r="C2479" s="27">
        <f t="shared" si="79"/>
        <v>6.2232545091703946</v>
      </c>
      <c r="D2479" s="29">
        <f t="shared" si="80"/>
        <v>-8.2715429418854791E-3</v>
      </c>
    </row>
    <row r="2480" spans="1:4" x14ac:dyDescent="0.3">
      <c r="A2480" s="26">
        <v>45754</v>
      </c>
      <c r="B2480" s="27">
        <v>515.85308837890625</v>
      </c>
      <c r="C2480" s="27">
        <f t="shared" si="79"/>
        <v>6.2458220124992998</v>
      </c>
      <c r="D2480" s="29">
        <f t="shared" si="80"/>
        <v>3.6263185597906755E-3</v>
      </c>
    </row>
    <row r="2481" spans="1:4" x14ac:dyDescent="0.3">
      <c r="A2481" s="26">
        <v>45755</v>
      </c>
      <c r="B2481" s="27">
        <v>510.05755615234381</v>
      </c>
      <c r="C2481" s="27">
        <f t="shared" si="79"/>
        <v>6.2345235745513765</v>
      </c>
      <c r="D2481" s="29">
        <f t="shared" si="80"/>
        <v>-1.8089593211770838E-3</v>
      </c>
    </row>
    <row r="2482" spans="1:4" x14ac:dyDescent="0.3">
      <c r="A2482" s="26">
        <v>45756</v>
      </c>
      <c r="B2482" s="27">
        <v>585.31964111328125</v>
      </c>
      <c r="C2482" s="27">
        <f t="shared" si="79"/>
        <v>6.3721580930778634</v>
      </c>
      <c r="D2482" s="29">
        <f t="shared" si="80"/>
        <v>2.2076188642271788E-2</v>
      </c>
    </row>
    <row r="2483" spans="1:4" x14ac:dyDescent="0.3">
      <c r="A2483" s="26">
        <v>45757</v>
      </c>
      <c r="B2483" s="27">
        <v>545.8699951171875</v>
      </c>
      <c r="C2483" s="27">
        <f t="shared" si="79"/>
        <v>6.3023808432126289</v>
      </c>
      <c r="D2483" s="29">
        <f t="shared" si="80"/>
        <v>-1.0950332500543891E-2</v>
      </c>
    </row>
    <row r="2484" spans="1:4" x14ac:dyDescent="0.3">
      <c r="A2484" s="26">
        <v>45758</v>
      </c>
      <c r="B2484" s="27">
        <v>543.152099609375</v>
      </c>
      <c r="C2484" s="27">
        <f t="shared" si="79"/>
        <v>6.2973893904883704</v>
      </c>
      <c r="D2484" s="29">
        <f t="shared" si="80"/>
        <v>-7.9199477918479033E-4</v>
      </c>
    </row>
    <row r="2485" spans="1:4" x14ac:dyDescent="0.3">
      <c r="A2485" s="26">
        <v>45761</v>
      </c>
      <c r="B2485" s="27">
        <v>531.07135009765625</v>
      </c>
      <c r="C2485" s="27">
        <f t="shared" si="79"/>
        <v>6.2748963815139804</v>
      </c>
      <c r="D2485" s="29">
        <f t="shared" si="80"/>
        <v>-3.5717989756777202E-3</v>
      </c>
    </row>
    <row r="2486" spans="1:4" x14ac:dyDescent="0.3">
      <c r="A2486" s="26">
        <v>45762</v>
      </c>
      <c r="B2486" s="27">
        <v>521.11907958984375</v>
      </c>
      <c r="C2486" s="27">
        <f t="shared" si="79"/>
        <v>6.2559785753109889</v>
      </c>
      <c r="D2486" s="29">
        <f t="shared" si="80"/>
        <v>-3.0148396169096259E-3</v>
      </c>
    </row>
    <row r="2487" spans="1:4" x14ac:dyDescent="0.3">
      <c r="A2487" s="26">
        <v>45763</v>
      </c>
      <c r="B2487" s="27">
        <v>501.92379760742188</v>
      </c>
      <c r="C2487" s="27">
        <f t="shared" si="79"/>
        <v>6.218448310574531</v>
      </c>
      <c r="D2487" s="29">
        <f t="shared" si="80"/>
        <v>-5.9991037828309723E-3</v>
      </c>
    </row>
    <row r="2488" spans="1:4" x14ac:dyDescent="0.3">
      <c r="A2488" s="26">
        <v>45764</v>
      </c>
      <c r="B2488" s="27">
        <v>501.09445190429688</v>
      </c>
      <c r="C2488" s="27">
        <f t="shared" si="79"/>
        <v>6.2167946100710125</v>
      </c>
      <c r="D2488" s="29">
        <f t="shared" si="80"/>
        <v>-2.659345902588095E-4</v>
      </c>
    </row>
    <row r="2489" spans="1:4" x14ac:dyDescent="0.3">
      <c r="A2489" s="26">
        <v>45768</v>
      </c>
      <c r="B2489" s="27">
        <v>484.28738403320313</v>
      </c>
      <c r="C2489" s="27">
        <f t="shared" si="79"/>
        <v>6.1826784991694108</v>
      </c>
      <c r="D2489" s="29">
        <f t="shared" si="80"/>
        <v>-5.4877333161907904E-3</v>
      </c>
    </row>
    <row r="2490" spans="1:4" x14ac:dyDescent="0.3">
      <c r="A2490" s="26">
        <v>45769</v>
      </c>
      <c r="B2490" s="27">
        <v>499.89535522460938</v>
      </c>
      <c r="C2490" s="27">
        <f t="shared" si="79"/>
        <v>6.2143987869672959</v>
      </c>
      <c r="D2490" s="29">
        <f t="shared" si="80"/>
        <v>5.1305090184046165E-3</v>
      </c>
    </row>
    <row r="2491" spans="1:4" x14ac:dyDescent="0.3">
      <c r="A2491" s="26">
        <v>45770</v>
      </c>
      <c r="B2491" s="27">
        <v>519.8699951171875</v>
      </c>
      <c r="C2491" s="27">
        <f t="shared" si="79"/>
        <v>6.2535787709278914</v>
      </c>
      <c r="D2491" s="29">
        <f t="shared" si="80"/>
        <v>6.304710287142079E-3</v>
      </c>
    </row>
    <row r="2492" spans="1:4" x14ac:dyDescent="0.3">
      <c r="A2492" s="26">
        <v>45771</v>
      </c>
      <c r="B2492" s="27">
        <v>532.7401123046875</v>
      </c>
      <c r="C2492" s="27">
        <f t="shared" si="79"/>
        <v>6.2780337110780788</v>
      </c>
      <c r="D2492" s="29">
        <f t="shared" si="80"/>
        <v>3.9105512293018396E-3</v>
      </c>
    </row>
    <row r="2493" spans="1:4" x14ac:dyDescent="0.3">
      <c r="A2493" s="26">
        <v>45772</v>
      </c>
      <c r="B2493" s="27">
        <v>546.8492431640625</v>
      </c>
      <c r="C2493" s="27">
        <f t="shared" si="79"/>
        <v>6.304173157788437</v>
      </c>
      <c r="D2493" s="29">
        <f t="shared" si="80"/>
        <v>4.1636359269994205E-3</v>
      </c>
    </row>
    <row r="2494" spans="1:4" x14ac:dyDescent="0.3">
      <c r="A2494" s="26">
        <v>45775</v>
      </c>
      <c r="B2494" s="27">
        <v>549.31732177734375</v>
      </c>
      <c r="C2494" s="27">
        <f t="shared" si="79"/>
        <v>6.3086762741265368</v>
      </c>
      <c r="D2494" s="29">
        <f t="shared" si="80"/>
        <v>7.1430720974663409E-4</v>
      </c>
    </row>
    <row r="2495" spans="1:4" x14ac:dyDescent="0.3">
      <c r="A2495" s="26">
        <v>45776</v>
      </c>
      <c r="B2495" s="27">
        <v>554.01373291015625</v>
      </c>
      <c r="C2495" s="27">
        <f t="shared" si="79"/>
        <v>6.3171894750865416</v>
      </c>
      <c r="D2495" s="29">
        <f t="shared" si="80"/>
        <v>1.3494433047578358E-3</v>
      </c>
    </row>
    <row r="2496" spans="1:4" x14ac:dyDescent="0.3">
      <c r="A2496" s="26">
        <v>45777</v>
      </c>
      <c r="B2496" s="27">
        <v>548.577880859375</v>
      </c>
      <c r="C2496" s="27">
        <f t="shared" si="79"/>
        <v>6.3073292584405234</v>
      </c>
      <c r="D2496" s="29">
        <f t="shared" si="80"/>
        <v>-1.5608549790859794E-3</v>
      </c>
    </row>
    <row r="2497" spans="1:4" x14ac:dyDescent="0.3">
      <c r="A2497" s="26">
        <v>45778</v>
      </c>
      <c r="B2497" s="27">
        <v>571.77008056640625</v>
      </c>
      <c r="C2497" s="27">
        <f t="shared" si="79"/>
        <v>6.3487369535216702</v>
      </c>
      <c r="D2497" s="29">
        <f t="shared" si="80"/>
        <v>6.5650124457565795E-3</v>
      </c>
    </row>
    <row r="2498" spans="1:4" x14ac:dyDescent="0.3">
      <c r="A2498" s="26">
        <v>45779</v>
      </c>
      <c r="B2498" s="27">
        <v>596.56103515625</v>
      </c>
      <c r="C2498" s="27">
        <f t="shared" si="79"/>
        <v>6.3911815584429821</v>
      </c>
      <c r="D2498" s="29">
        <f t="shared" si="80"/>
        <v>6.6855195343646923E-3</v>
      </c>
    </row>
    <row r="2499" spans="1:4" x14ac:dyDescent="0.3">
      <c r="A2499" s="26">
        <v>45782</v>
      </c>
      <c r="B2499" s="27">
        <v>598.80926513671875</v>
      </c>
      <c r="C2499" s="27">
        <f t="shared" ref="C2499:C2558" si="81">LN(B2499)</f>
        <v>6.3949431252659821</v>
      </c>
      <c r="D2499" s="29">
        <f t="shared" si="80"/>
        <v>5.885557762055349E-4</v>
      </c>
    </row>
    <row r="2500" spans="1:4" x14ac:dyDescent="0.3">
      <c r="A2500" s="26">
        <v>45783</v>
      </c>
      <c r="B2500" s="27">
        <v>586.85845947265625</v>
      </c>
      <c r="C2500" s="27">
        <f t="shared" si="81"/>
        <v>6.3747836654931973</v>
      </c>
      <c r="D2500" s="29">
        <f t="shared" ref="D2500:D2558" si="82">C2500/C2499-1</f>
        <v>-3.152406421432552E-3</v>
      </c>
    </row>
    <row r="2501" spans="1:4" x14ac:dyDescent="0.3">
      <c r="A2501" s="26">
        <v>45784</v>
      </c>
      <c r="B2501" s="27">
        <v>596.35113525390625</v>
      </c>
      <c r="C2501" s="27">
        <f t="shared" si="81"/>
        <v>6.3908296466933718</v>
      </c>
      <c r="D2501" s="29">
        <f t="shared" si="82"/>
        <v>2.5171020762684293E-3</v>
      </c>
    </row>
    <row r="2502" spans="1:4" x14ac:dyDescent="0.3">
      <c r="A2502" s="26">
        <v>45785</v>
      </c>
      <c r="B2502" s="27">
        <v>597.55023193359375</v>
      </c>
      <c r="C2502" s="27">
        <f t="shared" si="81"/>
        <v>6.3928383504537125</v>
      </c>
      <c r="D2502" s="29">
        <f t="shared" si="82"/>
        <v>3.1431032767081923E-4</v>
      </c>
    </row>
    <row r="2503" spans="1:4" x14ac:dyDescent="0.3">
      <c r="A2503" s="26">
        <v>45786</v>
      </c>
      <c r="B2503" s="27">
        <v>592.03448486328125</v>
      </c>
      <c r="C2503" s="27">
        <f t="shared" si="81"/>
        <v>6.3835648846457005</v>
      </c>
      <c r="D2503" s="29">
        <f t="shared" si="82"/>
        <v>-1.4506022676693542E-3</v>
      </c>
    </row>
    <row r="2504" spans="1:4" x14ac:dyDescent="0.3">
      <c r="A2504" s="26">
        <v>45789</v>
      </c>
      <c r="B2504" s="27">
        <v>638.9383544921875</v>
      </c>
      <c r="C2504" s="27">
        <f t="shared" si="81"/>
        <v>6.4598079778806152</v>
      </c>
      <c r="D2504" s="29">
        <f t="shared" si="82"/>
        <v>1.1943654464655173E-2</v>
      </c>
    </row>
    <row r="2505" spans="1:4" x14ac:dyDescent="0.3">
      <c r="A2505" s="26">
        <v>45790</v>
      </c>
      <c r="B2505" s="27">
        <v>655.525634765625</v>
      </c>
      <c r="C2505" s="27">
        <f t="shared" si="81"/>
        <v>6.4854374096330245</v>
      </c>
      <c r="D2505" s="29">
        <f t="shared" si="82"/>
        <v>3.9675222297890222E-3</v>
      </c>
    </row>
    <row r="2506" spans="1:4" x14ac:dyDescent="0.3">
      <c r="A2506" s="26">
        <v>45791</v>
      </c>
      <c r="B2506" s="27">
        <v>658.85302734375</v>
      </c>
      <c r="C2506" s="27">
        <f t="shared" si="81"/>
        <v>6.490500485871423</v>
      </c>
      <c r="D2506" s="29">
        <f t="shared" si="82"/>
        <v>7.806838488453316E-4</v>
      </c>
    </row>
    <row r="2507" spans="1:4" x14ac:dyDescent="0.3">
      <c r="A2507" s="26">
        <v>45792</v>
      </c>
      <c r="B2507" s="27">
        <v>643.38494873046875</v>
      </c>
      <c r="C2507" s="27">
        <f t="shared" si="81"/>
        <v>6.4667432211997289</v>
      </c>
      <c r="D2507" s="29">
        <f t="shared" si="82"/>
        <v>-3.6603132105773595E-3</v>
      </c>
    </row>
    <row r="2508" spans="1:4" x14ac:dyDescent="0.3">
      <c r="A2508" s="26">
        <v>45793</v>
      </c>
      <c r="B2508" s="27">
        <v>639.84771728515625</v>
      </c>
      <c r="C2508" s="27">
        <f t="shared" si="81"/>
        <v>6.4612302062991462</v>
      </c>
      <c r="D2508" s="29">
        <f t="shared" si="82"/>
        <v>-8.5251798502061771E-4</v>
      </c>
    </row>
    <row r="2509" spans="1:4" x14ac:dyDescent="0.3">
      <c r="A2509" s="26">
        <v>45796</v>
      </c>
      <c r="B2509" s="27">
        <v>639.9376220703125</v>
      </c>
      <c r="C2509" s="27">
        <f t="shared" si="81"/>
        <v>6.4613707060885091</v>
      </c>
      <c r="D2509" s="29">
        <f t="shared" si="82"/>
        <v>2.1745052393606912E-5</v>
      </c>
    </row>
    <row r="2510" spans="1:4" x14ac:dyDescent="0.3">
      <c r="A2510" s="26">
        <v>45797</v>
      </c>
      <c r="B2510" s="27">
        <v>636.61016845703125</v>
      </c>
      <c r="C2510" s="27">
        <f t="shared" si="81"/>
        <v>6.4561574877914758</v>
      </c>
      <c r="D2510" s="29">
        <f t="shared" si="82"/>
        <v>-8.0682854059443976E-4</v>
      </c>
    </row>
    <row r="2511" spans="1:4" x14ac:dyDescent="0.3">
      <c r="A2511" s="26">
        <v>45798</v>
      </c>
      <c r="B2511" s="27">
        <v>635.01141357421875</v>
      </c>
      <c r="C2511" s="27">
        <f t="shared" si="81"/>
        <v>6.4536429728637872</v>
      </c>
      <c r="D2511" s="29">
        <f t="shared" si="82"/>
        <v>-3.8947546314405113E-4</v>
      </c>
    </row>
    <row r="2512" spans="1:4" x14ac:dyDescent="0.3">
      <c r="A2512" s="26">
        <v>45799</v>
      </c>
      <c r="B2512" s="27">
        <v>636.08056640625</v>
      </c>
      <c r="C2512" s="27">
        <f t="shared" si="81"/>
        <v>6.4553252320566887</v>
      </c>
      <c r="D2512" s="29">
        <f t="shared" si="82"/>
        <v>2.6066815285186173E-4</v>
      </c>
    </row>
    <row r="2513" spans="1:4" x14ac:dyDescent="0.3">
      <c r="A2513" s="26">
        <v>45800</v>
      </c>
      <c r="B2513" s="27">
        <v>626.577880859375</v>
      </c>
      <c r="C2513" s="27">
        <f t="shared" si="81"/>
        <v>6.440273077638679</v>
      </c>
      <c r="D2513" s="29">
        <f t="shared" si="82"/>
        <v>-2.3317422247389752E-3</v>
      </c>
    </row>
    <row r="2514" spans="1:4" x14ac:dyDescent="0.3">
      <c r="A2514" s="26">
        <v>45804</v>
      </c>
      <c r="B2514" s="27">
        <v>641.826171875</v>
      </c>
      <c r="C2514" s="27">
        <f t="shared" si="81"/>
        <v>6.4643175067084533</v>
      </c>
      <c r="D2514" s="29">
        <f t="shared" si="82"/>
        <v>3.7334486876432482E-3</v>
      </c>
    </row>
    <row r="2515" spans="1:4" x14ac:dyDescent="0.3">
      <c r="A2515" s="26">
        <v>45805</v>
      </c>
      <c r="B2515" s="27">
        <v>643.085205078125</v>
      </c>
      <c r="C2515" s="27">
        <f t="shared" si="81"/>
        <v>6.4662772272442837</v>
      </c>
      <c r="D2515" s="29">
        <f t="shared" si="82"/>
        <v>3.0315969687388922E-4</v>
      </c>
    </row>
    <row r="2516" spans="1:4" x14ac:dyDescent="0.3">
      <c r="A2516" s="26">
        <v>45806</v>
      </c>
      <c r="B2516" s="27">
        <v>644.5540771484375</v>
      </c>
      <c r="C2516" s="27">
        <f t="shared" si="81"/>
        <v>6.4685587244426666</v>
      </c>
      <c r="D2516" s="29">
        <f t="shared" si="82"/>
        <v>3.5283009345321581E-4</v>
      </c>
    </row>
    <row r="2517" spans="1:4" x14ac:dyDescent="0.3">
      <c r="A2517" s="26">
        <v>45807</v>
      </c>
      <c r="B2517" s="27">
        <v>646.9921875</v>
      </c>
      <c r="C2517" s="27">
        <f t="shared" si="81"/>
        <v>6.4723342194666378</v>
      </c>
      <c r="D2517" s="29">
        <f t="shared" si="82"/>
        <v>5.8366866326875488E-4</v>
      </c>
    </row>
    <row r="2518" spans="1:4" x14ac:dyDescent="0.3">
      <c r="A2518" s="26">
        <v>45810</v>
      </c>
      <c r="B2518" s="27">
        <v>670.38421630859375</v>
      </c>
      <c r="C2518" s="27">
        <f t="shared" si="81"/>
        <v>6.5078510051982841</v>
      </c>
      <c r="D2518" s="29">
        <f t="shared" si="82"/>
        <v>5.4874770874506762E-3</v>
      </c>
    </row>
    <row r="2519" spans="1:4" x14ac:dyDescent="0.3">
      <c r="A2519" s="26">
        <v>45811</v>
      </c>
      <c r="B2519" s="27">
        <v>666.3372802734375</v>
      </c>
      <c r="C2519" s="27">
        <f t="shared" si="81"/>
        <v>6.5017959691865892</v>
      </c>
      <c r="D2519" s="29">
        <f t="shared" si="82"/>
        <v>-9.3042019659916875E-4</v>
      </c>
    </row>
    <row r="2520" spans="1:4" x14ac:dyDescent="0.3">
      <c r="A2520" s="26">
        <v>45812</v>
      </c>
      <c r="B2520" s="27">
        <v>687.42108154296875</v>
      </c>
      <c r="C2520" s="27">
        <f t="shared" si="81"/>
        <v>6.5329470324688401</v>
      </c>
      <c r="D2520" s="29">
        <f t="shared" si="82"/>
        <v>4.7911474660051745E-3</v>
      </c>
    </row>
    <row r="2521" spans="1:4" x14ac:dyDescent="0.3">
      <c r="A2521" s="26">
        <v>45813</v>
      </c>
      <c r="B2521" s="27">
        <v>684.0936279296875</v>
      </c>
      <c r="C2521" s="27">
        <f t="shared" si="81"/>
        <v>6.5280947911930758</v>
      </c>
      <c r="D2521" s="29">
        <f t="shared" si="82"/>
        <v>-7.4273390732371158E-4</v>
      </c>
    </row>
    <row r="2522" spans="1:4" x14ac:dyDescent="0.3">
      <c r="A2522" s="26">
        <v>45814</v>
      </c>
      <c r="B2522" s="27">
        <v>697.173583984375</v>
      </c>
      <c r="C2522" s="27">
        <f t="shared" si="81"/>
        <v>6.547034424208011</v>
      </c>
      <c r="D2522" s="29">
        <f t="shared" si="82"/>
        <v>2.9012496939362364E-3</v>
      </c>
    </row>
    <row r="2523" spans="1:4" x14ac:dyDescent="0.3">
      <c r="A2523" s="26">
        <v>45817</v>
      </c>
      <c r="B2523" s="27">
        <v>693.5263671875</v>
      </c>
      <c r="C2523" s="27">
        <f t="shared" si="81"/>
        <v>6.54178925948995</v>
      </c>
      <c r="D2523" s="29">
        <f t="shared" si="82"/>
        <v>-8.0115123553747836E-4</v>
      </c>
    </row>
    <row r="2524" spans="1:4" x14ac:dyDescent="0.3">
      <c r="A2524" s="26">
        <v>45818</v>
      </c>
      <c r="B2524" s="27">
        <v>701.8599853515625</v>
      </c>
      <c r="C2524" s="27">
        <f t="shared" si="81"/>
        <v>6.5537339330666518</v>
      </c>
      <c r="D2524" s="29">
        <f t="shared" si="82"/>
        <v>1.8259031440632789E-3</v>
      </c>
    </row>
    <row r="2525" spans="1:4" x14ac:dyDescent="0.3">
      <c r="A2525" s="26">
        <v>45819</v>
      </c>
      <c r="B2525" s="27">
        <v>693.6063232421875</v>
      </c>
      <c r="C2525" s="27">
        <f t="shared" si="81"/>
        <v>6.5419045419792567</v>
      </c>
      <c r="D2525" s="29">
        <f t="shared" si="82"/>
        <v>-1.8049849457132394E-3</v>
      </c>
    </row>
    <row r="2526" spans="1:4" x14ac:dyDescent="0.3">
      <c r="A2526" s="26">
        <v>45820</v>
      </c>
      <c r="B2526" s="27">
        <v>692.826904296875</v>
      </c>
      <c r="C2526" s="27">
        <f t="shared" si="81"/>
        <v>6.5407801906409588</v>
      </c>
      <c r="D2526" s="29">
        <f t="shared" si="82"/>
        <v>-1.7186911412159223E-4</v>
      </c>
    </row>
    <row r="2527" spans="1:4" x14ac:dyDescent="0.3">
      <c r="A2527" s="26">
        <v>45821</v>
      </c>
      <c r="B2527" s="27">
        <v>682.344970703125</v>
      </c>
      <c r="C2527" s="27">
        <f t="shared" si="81"/>
        <v>6.5255353521039083</v>
      </c>
      <c r="D2527" s="29">
        <f t="shared" si="82"/>
        <v>-2.3307370210764455E-3</v>
      </c>
    </row>
    <row r="2528" spans="1:4" x14ac:dyDescent="0.3">
      <c r="A2528" s="26">
        <v>45824</v>
      </c>
      <c r="B2528" s="27">
        <v>702.1199951171875</v>
      </c>
      <c r="C2528" s="27">
        <f t="shared" si="81"/>
        <v>6.5541043226337603</v>
      </c>
      <c r="D2528" s="29">
        <f t="shared" si="82"/>
        <v>4.3780270871784932E-3</v>
      </c>
    </row>
    <row r="2529" spans="1:4" x14ac:dyDescent="0.3">
      <c r="A2529" s="26">
        <v>45825</v>
      </c>
      <c r="B2529" s="27">
        <v>697.22998046875</v>
      </c>
      <c r="C2529" s="27">
        <f t="shared" si="81"/>
        <v>6.5471153139673941</v>
      </c>
      <c r="D2529" s="29">
        <f t="shared" si="82"/>
        <v>-1.0663560301031882E-3</v>
      </c>
    </row>
    <row r="2530" spans="1:4" x14ac:dyDescent="0.3">
      <c r="A2530" s="26">
        <v>45826</v>
      </c>
      <c r="B2530" s="27">
        <v>695.77001953125</v>
      </c>
      <c r="C2530" s="27">
        <f t="shared" si="81"/>
        <v>6.54501917402186</v>
      </c>
      <c r="D2530" s="29">
        <f t="shared" si="82"/>
        <v>-3.2016236846510449E-4</v>
      </c>
    </row>
    <row r="2531" spans="1:4" x14ac:dyDescent="0.3">
      <c r="A2531" s="26">
        <v>45828</v>
      </c>
      <c r="B2531" s="27">
        <v>682.3499755859375</v>
      </c>
      <c r="C2531" s="27">
        <f t="shared" si="81"/>
        <v>6.5255426869047382</v>
      </c>
      <c r="D2531" s="29">
        <f t="shared" si="82"/>
        <v>-2.975772354407602E-3</v>
      </c>
    </row>
    <row r="2532" spans="1:4" x14ac:dyDescent="0.3">
      <c r="A2532" s="26">
        <v>45831</v>
      </c>
      <c r="B2532" s="27">
        <v>698.530029296875</v>
      </c>
      <c r="C2532" s="27">
        <f t="shared" si="81"/>
        <v>6.5489781688922877</v>
      </c>
      <c r="D2532" s="29">
        <f t="shared" si="82"/>
        <v>3.5913460553371745E-3</v>
      </c>
    </row>
    <row r="2533" spans="1:4" x14ac:dyDescent="0.3">
      <c r="A2533" s="26">
        <v>45832</v>
      </c>
      <c r="B2533" s="27">
        <v>712.20001220703125</v>
      </c>
      <c r="C2533" s="27">
        <f t="shared" si="81"/>
        <v>6.5683587879835699</v>
      </c>
      <c r="D2533" s="29">
        <f t="shared" si="82"/>
        <v>2.9593348139929088E-3</v>
      </c>
    </row>
    <row r="2534" spans="1:4" x14ac:dyDescent="0.3">
      <c r="A2534" s="26">
        <v>45833</v>
      </c>
      <c r="B2534" s="27">
        <v>708.67999267578125</v>
      </c>
      <c r="C2534" s="27">
        <f t="shared" si="81"/>
        <v>6.5634040743972211</v>
      </c>
      <c r="D2534" s="29">
        <f t="shared" si="82"/>
        <v>-7.5433053313300746E-4</v>
      </c>
    </row>
    <row r="2535" spans="1:4" x14ac:dyDescent="0.3">
      <c r="A2535" s="26">
        <v>45834</v>
      </c>
      <c r="B2535" s="27">
        <v>726.09002685546875</v>
      </c>
      <c r="C2535" s="27">
        <f t="shared" si="81"/>
        <v>6.5876740110700966</v>
      </c>
      <c r="D2535" s="29">
        <f t="shared" si="82"/>
        <v>3.6977666463577918E-3</v>
      </c>
    </row>
    <row r="2536" spans="1:4" x14ac:dyDescent="0.3">
      <c r="A2536" s="26">
        <v>45835</v>
      </c>
      <c r="B2536" s="27">
        <v>733.6300048828125</v>
      </c>
      <c r="C2536" s="27">
        <f t="shared" si="81"/>
        <v>6.598004820982081</v>
      </c>
      <c r="D2536" s="29">
        <f t="shared" si="82"/>
        <v>1.5682029642973827E-3</v>
      </c>
    </row>
    <row r="2537" spans="1:4" x14ac:dyDescent="0.3">
      <c r="A2537" s="26">
        <v>45838</v>
      </c>
      <c r="B2537" s="27">
        <v>738.09002685546875</v>
      </c>
      <c r="C2537" s="27">
        <f t="shared" si="81"/>
        <v>6.6040658047696255</v>
      </c>
      <c r="D2537" s="29">
        <f t="shared" si="82"/>
        <v>9.1860857213532654E-4</v>
      </c>
    </row>
    <row r="2538" spans="1:4" x14ac:dyDescent="0.3">
      <c r="A2538" s="26">
        <v>45839</v>
      </c>
      <c r="B2538" s="27">
        <v>719.219970703125</v>
      </c>
      <c r="C2538" s="27">
        <f t="shared" si="81"/>
        <v>6.5781672507128297</v>
      </c>
      <c r="D2538" s="29">
        <f t="shared" si="82"/>
        <v>-3.9216075100418912E-3</v>
      </c>
    </row>
    <row r="2539" spans="1:4" x14ac:dyDescent="0.3">
      <c r="A2539" s="26">
        <v>45840</v>
      </c>
      <c r="B2539" s="27">
        <v>713.57000732421875</v>
      </c>
      <c r="C2539" s="27">
        <f t="shared" si="81"/>
        <v>6.5702805502875252</v>
      </c>
      <c r="D2539" s="29">
        <f t="shared" si="82"/>
        <v>-1.1989206301268318E-3</v>
      </c>
    </row>
    <row r="2540" spans="1:4" x14ac:dyDescent="0.3">
      <c r="A2540" s="26">
        <v>45841</v>
      </c>
      <c r="B2540" s="27">
        <v>719.010009765625</v>
      </c>
      <c r="C2540" s="27">
        <f t="shared" si="81"/>
        <v>6.5778752794122131</v>
      </c>
      <c r="D2540" s="29">
        <f t="shared" si="82"/>
        <v>1.1559215876033591E-3</v>
      </c>
    </row>
    <row r="2541" spans="1:4" x14ac:dyDescent="0.3">
      <c r="A2541" s="26">
        <v>45845</v>
      </c>
      <c r="B2541" s="27">
        <v>718.3499755859375</v>
      </c>
      <c r="C2541" s="27">
        <f t="shared" si="81"/>
        <v>6.576956881470422</v>
      </c>
      <c r="D2541" s="29">
        <f t="shared" si="82"/>
        <v>-1.3961923915850605E-4</v>
      </c>
    </row>
    <row r="2542" spans="1:4" x14ac:dyDescent="0.3">
      <c r="A2542" s="26">
        <v>45846</v>
      </c>
      <c r="B2542" s="27">
        <v>720.66998291015625</v>
      </c>
      <c r="C2542" s="27">
        <f t="shared" si="81"/>
        <v>6.5801813111534209</v>
      </c>
      <c r="D2542" s="29">
        <f t="shared" si="82"/>
        <v>4.9026164244492243E-4</v>
      </c>
    </row>
    <row r="2543" spans="1:4" x14ac:dyDescent="0.3">
      <c r="A2543" s="26">
        <v>45847</v>
      </c>
      <c r="B2543" s="27">
        <v>732.780029296875</v>
      </c>
      <c r="C2543" s="27">
        <f t="shared" si="81"/>
        <v>6.5968455603915022</v>
      </c>
      <c r="D2543" s="29">
        <f t="shared" si="82"/>
        <v>2.532490891981265E-3</v>
      </c>
    </row>
    <row r="2544" spans="1:4" x14ac:dyDescent="0.3">
      <c r="A2544" s="26">
        <v>45848</v>
      </c>
      <c r="B2544" s="27">
        <v>727.239990234375</v>
      </c>
      <c r="C2544" s="27">
        <f t="shared" si="81"/>
        <v>6.5892565334227333</v>
      </c>
      <c r="D2544" s="29">
        <f t="shared" si="82"/>
        <v>-1.150402400555639E-3</v>
      </c>
    </row>
    <row r="2545" spans="1:4" x14ac:dyDescent="0.3">
      <c r="A2545" s="26">
        <v>45849</v>
      </c>
      <c r="B2545" s="27">
        <v>717.510009765625</v>
      </c>
      <c r="C2545" s="27">
        <f t="shared" si="81"/>
        <v>6.5757868984293202</v>
      </c>
      <c r="D2545" s="29">
        <f t="shared" si="82"/>
        <v>-2.0441813010452226E-3</v>
      </c>
    </row>
    <row r="2546" spans="1:4" x14ac:dyDescent="0.3">
      <c r="A2546" s="26">
        <v>45852</v>
      </c>
      <c r="B2546" s="27">
        <v>720.91998291015625</v>
      </c>
      <c r="C2546" s="27">
        <f t="shared" si="81"/>
        <v>6.580528150419001</v>
      </c>
      <c r="D2546" s="29">
        <f t="shared" si="82"/>
        <v>7.210166726683287E-4</v>
      </c>
    </row>
    <row r="2547" spans="1:4" x14ac:dyDescent="0.3">
      <c r="A2547" s="26">
        <v>45853</v>
      </c>
      <c r="B2547" s="27">
        <v>710.3900146484375</v>
      </c>
      <c r="C2547" s="27">
        <f t="shared" si="81"/>
        <v>6.565814135622583</v>
      </c>
      <c r="D2547" s="29">
        <f t="shared" si="82"/>
        <v>-2.2359929872013407E-3</v>
      </c>
    </row>
    <row r="2548" spans="1:4" x14ac:dyDescent="0.3">
      <c r="A2548" s="26">
        <v>45854</v>
      </c>
      <c r="B2548" s="27">
        <v>702.90997314453125</v>
      </c>
      <c r="C2548" s="27">
        <f t="shared" si="81"/>
        <v>6.5552288226493225</v>
      </c>
      <c r="D2548" s="29">
        <f t="shared" si="82"/>
        <v>-1.6121859002724559E-3</v>
      </c>
    </row>
    <row r="2549" spans="1:4" x14ac:dyDescent="0.3">
      <c r="A2549" s="26">
        <v>45855</v>
      </c>
      <c r="B2549" s="27">
        <v>701.40997314453125</v>
      </c>
      <c r="C2549" s="27">
        <f t="shared" si="81"/>
        <v>6.5530925565164972</v>
      </c>
      <c r="D2549" s="29">
        <f t="shared" si="82"/>
        <v>-3.2588734743232983E-4</v>
      </c>
    </row>
    <row r="2550" spans="1:4" x14ac:dyDescent="0.3">
      <c r="A2550" s="26">
        <v>45856</v>
      </c>
      <c r="B2550" s="27">
        <v>704.280029296875</v>
      </c>
      <c r="C2550" s="27">
        <f t="shared" si="81"/>
        <v>6.5571760459565773</v>
      </c>
      <c r="D2550" s="29">
        <f t="shared" si="82"/>
        <v>6.231392895585941E-4</v>
      </c>
    </row>
    <row r="2551" spans="1:4" x14ac:dyDescent="0.3">
      <c r="A2551" s="26">
        <v>45859</v>
      </c>
      <c r="B2551" s="27">
        <v>712.969970703125</v>
      </c>
      <c r="C2551" s="27">
        <f t="shared" si="81"/>
        <v>6.5694393027014462</v>
      </c>
      <c r="D2551" s="29">
        <f t="shared" si="82"/>
        <v>1.870203980939511E-3</v>
      </c>
    </row>
    <row r="2552" spans="1:4" x14ac:dyDescent="0.3">
      <c r="A2552" s="26">
        <v>45860</v>
      </c>
      <c r="B2552" s="27">
        <v>704.80999755859375</v>
      </c>
      <c r="C2552" s="27">
        <f t="shared" si="81"/>
        <v>6.5579282594796418</v>
      </c>
      <c r="D2552" s="29">
        <f t="shared" si="82"/>
        <v>-1.7522109104609607E-3</v>
      </c>
    </row>
    <row r="2553" spans="1:4" x14ac:dyDescent="0.3">
      <c r="A2553" s="26">
        <v>45861</v>
      </c>
      <c r="B2553" s="27">
        <v>713.58001708984375</v>
      </c>
      <c r="C2553" s="27">
        <f t="shared" si="81"/>
        <v>6.5702945779166519</v>
      </c>
      <c r="D2553" s="29">
        <f t="shared" si="82"/>
        <v>1.8857050500871164E-3</v>
      </c>
    </row>
    <row r="2554" spans="1:4" x14ac:dyDescent="0.3">
      <c r="A2554" s="26">
        <v>45862</v>
      </c>
      <c r="B2554" s="27">
        <v>714.79998779296875</v>
      </c>
      <c r="C2554" s="27">
        <f t="shared" si="81"/>
        <v>6.5720027662077252</v>
      </c>
      <c r="D2554" s="29">
        <f t="shared" si="82"/>
        <v>2.5998656084835758E-4</v>
      </c>
    </row>
    <row r="2555" spans="1:4" x14ac:dyDescent="0.3">
      <c r="A2555" s="26">
        <v>45863</v>
      </c>
      <c r="B2555" s="27">
        <v>712.67999267578125</v>
      </c>
      <c r="C2555" s="27">
        <f t="shared" si="81"/>
        <v>6.5690325015387598</v>
      </c>
      <c r="D2555" s="29">
        <f t="shared" si="82"/>
        <v>-4.5195730656688582E-4</v>
      </c>
    </row>
    <row r="2556" spans="1:4" x14ac:dyDescent="0.3">
      <c r="A2556" s="26">
        <v>45866</v>
      </c>
      <c r="B2556" s="27">
        <v>717.6300048828125</v>
      </c>
      <c r="C2556" s="27">
        <f t="shared" si="81"/>
        <v>6.5759541226948865</v>
      </c>
      <c r="D2556" s="29">
        <f t="shared" si="82"/>
        <v>1.0536743659748105E-3</v>
      </c>
    </row>
    <row r="2557" spans="1:4" x14ac:dyDescent="0.3">
      <c r="A2557" s="26">
        <v>45867</v>
      </c>
      <c r="B2557" s="27">
        <v>700</v>
      </c>
      <c r="C2557" s="27">
        <f t="shared" si="81"/>
        <v>6.5510803350434044</v>
      </c>
      <c r="D2557" s="29">
        <f t="shared" si="82"/>
        <v>-3.7825366764099311E-3</v>
      </c>
    </row>
    <row r="2558" spans="1:4" x14ac:dyDescent="0.3">
      <c r="A2558" s="30">
        <v>45868</v>
      </c>
      <c r="B2558" s="31">
        <v>695.21002197265625</v>
      </c>
      <c r="C2558" s="31">
        <f t="shared" si="81"/>
        <v>6.544213989803338</v>
      </c>
      <c r="D2558" s="32">
        <f t="shared" si="82"/>
        <v>-1.0481241091391258E-3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AC4A-7845-4B62-B603-1E7DA185B171}">
  <dimension ref="A1:F80"/>
  <sheetViews>
    <sheetView showGridLines="0" workbookViewId="0">
      <selection activeCell="B7" sqref="B7"/>
    </sheetView>
  </sheetViews>
  <sheetFormatPr baseColWidth="10" defaultRowHeight="14.4" x14ac:dyDescent="0.3"/>
  <sheetData>
    <row r="1" spans="1:6" ht="22.2" thickTop="1" thickBot="1" x14ac:dyDescent="0.45">
      <c r="A1" s="5" t="s">
        <v>17</v>
      </c>
      <c r="B1" s="6"/>
      <c r="C1" s="6"/>
      <c r="D1" s="6"/>
      <c r="E1" s="6"/>
      <c r="F1" s="7"/>
    </row>
    <row r="2" spans="1:6" ht="29.4" thickTop="1" x14ac:dyDescent="0.3">
      <c r="A2" s="8" t="s">
        <v>18</v>
      </c>
      <c r="B2" s="9" t="s">
        <v>19</v>
      </c>
      <c r="C2" s="9" t="s">
        <v>20</v>
      </c>
      <c r="D2" s="9" t="s">
        <v>21</v>
      </c>
      <c r="E2" s="9" t="s">
        <v>22</v>
      </c>
      <c r="F2" s="10" t="s">
        <v>23</v>
      </c>
    </row>
    <row r="3" spans="1:6" x14ac:dyDescent="0.3">
      <c r="A3" s="11">
        <v>-67144.404442634768</v>
      </c>
      <c r="B3" s="12">
        <v>77010.877358080252</v>
      </c>
      <c r="C3" s="13">
        <v>1</v>
      </c>
      <c r="D3" s="14">
        <v>1E-4</v>
      </c>
      <c r="E3" s="13">
        <v>1</v>
      </c>
      <c r="F3" s="15">
        <v>1E-4</v>
      </c>
    </row>
    <row r="4" spans="1:6" x14ac:dyDescent="0.3">
      <c r="A4" s="11">
        <v>9866.4729154454835</v>
      </c>
      <c r="B4" s="12">
        <v>77010.877358080252</v>
      </c>
      <c r="C4" s="13">
        <v>5</v>
      </c>
      <c r="D4" s="14">
        <v>5.0000000000000001E-4</v>
      </c>
      <c r="E4" s="13">
        <v>6</v>
      </c>
      <c r="F4" s="15">
        <v>5.9999999999999995E-4</v>
      </c>
    </row>
    <row r="5" spans="1:6" x14ac:dyDescent="0.3">
      <c r="A5" s="11">
        <v>86877.350273525735</v>
      </c>
      <c r="B5" s="12">
        <v>77010.877358080237</v>
      </c>
      <c r="C5" s="13">
        <v>9</v>
      </c>
      <c r="D5" s="14">
        <v>8.9999999999999998E-4</v>
      </c>
      <c r="E5" s="13">
        <v>15</v>
      </c>
      <c r="F5" s="15">
        <v>1.5E-3</v>
      </c>
    </row>
    <row r="6" spans="1:6" x14ac:dyDescent="0.3">
      <c r="A6" s="11">
        <v>163888.22763160599</v>
      </c>
      <c r="B6" s="12">
        <v>77010.877358080266</v>
      </c>
      <c r="C6" s="13">
        <v>17</v>
      </c>
      <c r="D6" s="14">
        <v>1.6999999999999999E-3</v>
      </c>
      <c r="E6" s="13">
        <v>32</v>
      </c>
      <c r="F6" s="15">
        <v>3.2000000000000002E-3</v>
      </c>
    </row>
    <row r="7" spans="1:6" x14ac:dyDescent="0.3">
      <c r="A7" s="11">
        <v>240899.10498968622</v>
      </c>
      <c r="B7" s="12">
        <v>77010.877358080237</v>
      </c>
      <c r="C7" s="13">
        <v>31</v>
      </c>
      <c r="D7" s="14">
        <v>3.0999999999999999E-3</v>
      </c>
      <c r="E7" s="13">
        <v>63</v>
      </c>
      <c r="F7" s="15">
        <v>6.3E-3</v>
      </c>
    </row>
    <row r="8" spans="1:6" x14ac:dyDescent="0.3">
      <c r="A8" s="11">
        <v>317909.98234776646</v>
      </c>
      <c r="B8" s="12">
        <v>77010.877358080237</v>
      </c>
      <c r="C8" s="13">
        <v>70</v>
      </c>
      <c r="D8" s="14">
        <v>7.0000000000000001E-3</v>
      </c>
      <c r="E8" s="13">
        <v>133</v>
      </c>
      <c r="F8" s="15">
        <v>1.3299999999999999E-2</v>
      </c>
    </row>
    <row r="9" spans="1:6" x14ac:dyDescent="0.3">
      <c r="A9" s="11">
        <v>394920.8597058467</v>
      </c>
      <c r="B9" s="12">
        <v>77010.877358080295</v>
      </c>
      <c r="C9" s="13">
        <v>127</v>
      </c>
      <c r="D9" s="14">
        <v>1.2699999999999999E-2</v>
      </c>
      <c r="E9" s="13">
        <v>260</v>
      </c>
      <c r="F9" s="15">
        <v>2.5999999999999999E-2</v>
      </c>
    </row>
    <row r="10" spans="1:6" x14ac:dyDescent="0.3">
      <c r="A10" s="11">
        <v>471931.73706392699</v>
      </c>
      <c r="B10" s="12">
        <v>77010.877358080237</v>
      </c>
      <c r="C10" s="13">
        <v>200</v>
      </c>
      <c r="D10" s="14">
        <v>0.02</v>
      </c>
      <c r="E10" s="13">
        <v>460</v>
      </c>
      <c r="F10" s="15">
        <v>4.5999999999999999E-2</v>
      </c>
    </row>
    <row r="11" spans="1:6" x14ac:dyDescent="0.3">
      <c r="A11" s="11">
        <v>548942.61442200723</v>
      </c>
      <c r="B11" s="12">
        <v>77010.877358080237</v>
      </c>
      <c r="C11" s="13">
        <v>231</v>
      </c>
      <c r="D11" s="14">
        <v>2.3099999999999999E-2</v>
      </c>
      <c r="E11" s="13">
        <v>691</v>
      </c>
      <c r="F11" s="15">
        <v>6.9099999999999995E-2</v>
      </c>
    </row>
    <row r="12" spans="1:6" x14ac:dyDescent="0.3">
      <c r="A12" s="11">
        <v>625953.49178008747</v>
      </c>
      <c r="B12" s="12">
        <v>77010.877358080237</v>
      </c>
      <c r="C12" s="13">
        <v>290</v>
      </c>
      <c r="D12" s="14">
        <v>2.9000000000000001E-2</v>
      </c>
      <c r="E12" s="13">
        <v>981</v>
      </c>
      <c r="F12" s="15">
        <v>9.8100000000000007E-2</v>
      </c>
    </row>
    <row r="13" spans="1:6" x14ac:dyDescent="0.3">
      <c r="A13" s="11">
        <v>702964.36913816771</v>
      </c>
      <c r="B13" s="12">
        <v>77010.877358080237</v>
      </c>
      <c r="C13" s="13">
        <v>336</v>
      </c>
      <c r="D13" s="14">
        <v>3.3599999999999998E-2</v>
      </c>
      <c r="E13" s="13">
        <v>1317</v>
      </c>
      <c r="F13" s="15">
        <v>0.13170000000000001</v>
      </c>
    </row>
    <row r="14" spans="1:6" x14ac:dyDescent="0.3">
      <c r="A14" s="11">
        <v>779975.24649624794</v>
      </c>
      <c r="B14" s="12">
        <v>77010.877358080237</v>
      </c>
      <c r="C14" s="13">
        <v>430</v>
      </c>
      <c r="D14" s="14">
        <v>4.2999999999999997E-2</v>
      </c>
      <c r="E14" s="13">
        <v>1747</v>
      </c>
      <c r="F14" s="15">
        <v>0.17469999999999999</v>
      </c>
    </row>
    <row r="15" spans="1:6" x14ac:dyDescent="0.3">
      <c r="A15" s="11">
        <v>856986.12385432818</v>
      </c>
      <c r="B15" s="12">
        <v>77010.877358080354</v>
      </c>
      <c r="C15" s="13">
        <v>451</v>
      </c>
      <c r="D15" s="14">
        <v>4.5100000000000001E-2</v>
      </c>
      <c r="E15" s="13">
        <v>2198</v>
      </c>
      <c r="F15" s="15">
        <v>0.2198</v>
      </c>
    </row>
    <row r="16" spans="1:6" x14ac:dyDescent="0.3">
      <c r="A16" s="11">
        <v>933997.00121240853</v>
      </c>
      <c r="B16" s="12">
        <v>77010.877358080237</v>
      </c>
      <c r="C16" s="13">
        <v>483</v>
      </c>
      <c r="D16" s="14">
        <v>4.8300000000000003E-2</v>
      </c>
      <c r="E16" s="13">
        <v>2681</v>
      </c>
      <c r="F16" s="15">
        <v>0.2681</v>
      </c>
    </row>
    <row r="17" spans="1:6" x14ac:dyDescent="0.3">
      <c r="A17" s="11">
        <v>1011007.8785704888</v>
      </c>
      <c r="B17" s="12">
        <v>77010.877358080354</v>
      </c>
      <c r="C17" s="13">
        <v>497</v>
      </c>
      <c r="D17" s="14">
        <v>4.9700000000000001E-2</v>
      </c>
      <c r="E17" s="13">
        <v>3178</v>
      </c>
      <c r="F17" s="15">
        <v>0.31780000000000003</v>
      </c>
    </row>
    <row r="18" spans="1:6" x14ac:dyDescent="0.3">
      <c r="A18" s="11">
        <v>1088018.7559285692</v>
      </c>
      <c r="B18" s="12">
        <v>77010.877358080121</v>
      </c>
      <c r="C18" s="13">
        <v>540</v>
      </c>
      <c r="D18" s="14">
        <v>5.3999999999999999E-2</v>
      </c>
      <c r="E18" s="13">
        <v>3718</v>
      </c>
      <c r="F18" s="15">
        <v>0.37180000000000002</v>
      </c>
    </row>
    <row r="19" spans="1:6" x14ac:dyDescent="0.3">
      <c r="A19" s="11">
        <v>1165029.6332866494</v>
      </c>
      <c r="B19" s="12">
        <v>77010.877358080121</v>
      </c>
      <c r="C19" s="13">
        <v>542</v>
      </c>
      <c r="D19" s="14">
        <v>5.4199999999999998E-2</v>
      </c>
      <c r="E19" s="13">
        <v>4260</v>
      </c>
      <c r="F19" s="15">
        <v>0.42599999999999999</v>
      </c>
    </row>
    <row r="20" spans="1:6" x14ac:dyDescent="0.3">
      <c r="A20" s="11">
        <v>1242040.5106447295</v>
      </c>
      <c r="B20" s="12">
        <v>77010.877358080354</v>
      </c>
      <c r="C20" s="13">
        <v>504</v>
      </c>
      <c r="D20" s="14">
        <v>5.04E-2</v>
      </c>
      <c r="E20" s="13">
        <v>4764</v>
      </c>
      <c r="F20" s="15">
        <v>0.47639999999999999</v>
      </c>
    </row>
    <row r="21" spans="1:6" x14ac:dyDescent="0.3">
      <c r="A21" s="11">
        <v>1319051.3880028098</v>
      </c>
      <c r="B21" s="12">
        <v>77010.877358080354</v>
      </c>
      <c r="C21" s="13">
        <v>474</v>
      </c>
      <c r="D21" s="14">
        <v>4.7399999999999998E-2</v>
      </c>
      <c r="E21" s="13">
        <v>5238</v>
      </c>
      <c r="F21" s="15">
        <v>0.52380000000000004</v>
      </c>
    </row>
    <row r="22" spans="1:6" x14ac:dyDescent="0.3">
      <c r="A22" s="11">
        <v>1396062.2653608902</v>
      </c>
      <c r="B22" s="12">
        <v>77010.877358080121</v>
      </c>
      <c r="C22" s="13">
        <v>500</v>
      </c>
      <c r="D22" s="14">
        <v>0.05</v>
      </c>
      <c r="E22" s="13">
        <v>5738</v>
      </c>
      <c r="F22" s="15">
        <v>0.57379999999999998</v>
      </c>
    </row>
    <row r="23" spans="1:6" x14ac:dyDescent="0.3">
      <c r="A23" s="11">
        <v>1473073.1427189703</v>
      </c>
      <c r="B23" s="12">
        <v>77010.877358080121</v>
      </c>
      <c r="C23" s="13">
        <v>461</v>
      </c>
      <c r="D23" s="14">
        <v>4.6100000000000002E-2</v>
      </c>
      <c r="E23" s="13">
        <v>6199</v>
      </c>
      <c r="F23" s="15">
        <v>0.61990000000000001</v>
      </c>
    </row>
    <row r="24" spans="1:6" x14ac:dyDescent="0.3">
      <c r="A24" s="11">
        <v>1550084.0200770504</v>
      </c>
      <c r="B24" s="12">
        <v>77010.877358080354</v>
      </c>
      <c r="C24" s="13">
        <v>398</v>
      </c>
      <c r="D24" s="14">
        <v>3.9800000000000002E-2</v>
      </c>
      <c r="E24" s="13">
        <v>6597</v>
      </c>
      <c r="F24" s="15">
        <v>0.65969999999999995</v>
      </c>
    </row>
    <row r="25" spans="1:6" x14ac:dyDescent="0.3">
      <c r="A25" s="11">
        <v>1627094.8974351308</v>
      </c>
      <c r="B25" s="12">
        <v>77010.877358080354</v>
      </c>
      <c r="C25" s="13">
        <v>370</v>
      </c>
      <c r="D25" s="14">
        <v>3.6999999999999998E-2</v>
      </c>
      <c r="E25" s="13">
        <v>6967</v>
      </c>
      <c r="F25" s="15">
        <v>0.69669999999999999</v>
      </c>
    </row>
    <row r="26" spans="1:6" x14ac:dyDescent="0.3">
      <c r="A26" s="11">
        <v>1704105.7747932111</v>
      </c>
      <c r="B26" s="12">
        <v>77010.877358080121</v>
      </c>
      <c r="C26" s="13">
        <v>365</v>
      </c>
      <c r="D26" s="14">
        <v>3.6499999999999998E-2</v>
      </c>
      <c r="E26" s="13">
        <v>7332</v>
      </c>
      <c r="F26" s="15">
        <v>0.73319999999999996</v>
      </c>
    </row>
    <row r="27" spans="1:6" x14ac:dyDescent="0.3">
      <c r="A27" s="11">
        <v>1781116.6521512913</v>
      </c>
      <c r="B27" s="12">
        <v>77010.877358080354</v>
      </c>
      <c r="C27" s="13">
        <v>322</v>
      </c>
      <c r="D27" s="14">
        <v>3.2199999999999999E-2</v>
      </c>
      <c r="E27" s="13">
        <v>7654</v>
      </c>
      <c r="F27" s="15">
        <v>0.76539999999999997</v>
      </c>
    </row>
    <row r="28" spans="1:6" x14ac:dyDescent="0.3">
      <c r="A28" s="11">
        <v>1858127.5295093716</v>
      </c>
      <c r="B28" s="12">
        <v>77010.877358080354</v>
      </c>
      <c r="C28" s="13">
        <v>296</v>
      </c>
      <c r="D28" s="14">
        <v>2.9600000000000001E-2</v>
      </c>
      <c r="E28" s="13">
        <v>7950</v>
      </c>
      <c r="F28" s="15">
        <v>0.79500000000000004</v>
      </c>
    </row>
    <row r="29" spans="1:6" x14ac:dyDescent="0.3">
      <c r="A29" s="11">
        <v>1935138.406867452</v>
      </c>
      <c r="B29" s="12">
        <v>77010.877358080121</v>
      </c>
      <c r="C29" s="13">
        <v>246</v>
      </c>
      <c r="D29" s="14">
        <v>2.46E-2</v>
      </c>
      <c r="E29" s="13">
        <v>8196</v>
      </c>
      <c r="F29" s="15">
        <v>0.8196</v>
      </c>
    </row>
    <row r="30" spans="1:6" x14ac:dyDescent="0.3">
      <c r="A30" s="11">
        <v>2012149.2842255321</v>
      </c>
      <c r="B30" s="12">
        <v>77010.877358080354</v>
      </c>
      <c r="C30" s="13">
        <v>217</v>
      </c>
      <c r="D30" s="14">
        <v>2.1700000000000001E-2</v>
      </c>
      <c r="E30" s="13">
        <v>8413</v>
      </c>
      <c r="F30" s="15">
        <v>0.84130000000000005</v>
      </c>
    </row>
    <row r="31" spans="1:6" x14ac:dyDescent="0.3">
      <c r="A31" s="11">
        <v>2089160.1615836124</v>
      </c>
      <c r="B31" s="12">
        <v>77010.877358080354</v>
      </c>
      <c r="C31" s="13">
        <v>211</v>
      </c>
      <c r="D31" s="14">
        <v>2.1100000000000001E-2</v>
      </c>
      <c r="E31" s="13">
        <v>8624</v>
      </c>
      <c r="F31" s="15">
        <v>0.86240000000000006</v>
      </c>
    </row>
    <row r="32" spans="1:6" x14ac:dyDescent="0.3">
      <c r="A32" s="11">
        <v>2166171.0389416926</v>
      </c>
      <c r="B32" s="12">
        <v>77010.877358080354</v>
      </c>
      <c r="C32" s="13">
        <v>191</v>
      </c>
      <c r="D32" s="14">
        <v>1.9099999999999999E-2</v>
      </c>
      <c r="E32" s="13">
        <v>8815</v>
      </c>
      <c r="F32" s="15">
        <v>0.88149999999999995</v>
      </c>
    </row>
    <row r="33" spans="1:6" x14ac:dyDescent="0.3">
      <c r="A33" s="11">
        <v>2243181.9162997729</v>
      </c>
      <c r="B33" s="12">
        <v>77010.877358079888</v>
      </c>
      <c r="C33" s="13">
        <v>162</v>
      </c>
      <c r="D33" s="14">
        <v>1.6199999999999999E-2</v>
      </c>
      <c r="E33" s="13">
        <v>8977</v>
      </c>
      <c r="F33" s="15">
        <v>0.89770000000000005</v>
      </c>
    </row>
    <row r="34" spans="1:6" x14ac:dyDescent="0.3">
      <c r="A34" s="11">
        <v>2320192.7936578528</v>
      </c>
      <c r="B34" s="12">
        <v>77010.877358080354</v>
      </c>
      <c r="C34" s="13">
        <v>132</v>
      </c>
      <c r="D34" s="14">
        <v>1.32E-2</v>
      </c>
      <c r="E34" s="13">
        <v>9109</v>
      </c>
      <c r="F34" s="15">
        <v>0.91090000000000004</v>
      </c>
    </row>
    <row r="35" spans="1:6" x14ac:dyDescent="0.3">
      <c r="A35" s="11">
        <v>2397203.6710159332</v>
      </c>
      <c r="B35" s="12">
        <v>77010.877358079888</v>
      </c>
      <c r="C35" s="13">
        <v>111</v>
      </c>
      <c r="D35" s="14">
        <v>1.11E-2</v>
      </c>
      <c r="E35" s="13">
        <v>9220</v>
      </c>
      <c r="F35" s="15">
        <v>0.92200000000000004</v>
      </c>
    </row>
    <row r="36" spans="1:6" x14ac:dyDescent="0.3">
      <c r="A36" s="11">
        <v>2474214.548374013</v>
      </c>
      <c r="B36" s="12">
        <v>77010.877358080354</v>
      </c>
      <c r="C36" s="13">
        <v>102</v>
      </c>
      <c r="D36" s="14">
        <v>1.0200000000000001E-2</v>
      </c>
      <c r="E36" s="13">
        <v>9322</v>
      </c>
      <c r="F36" s="15">
        <v>0.93220000000000003</v>
      </c>
    </row>
    <row r="37" spans="1:6" x14ac:dyDescent="0.3">
      <c r="A37" s="11">
        <v>2551225.4257320934</v>
      </c>
      <c r="B37" s="12">
        <v>77010.877358080354</v>
      </c>
      <c r="C37" s="13">
        <v>95</v>
      </c>
      <c r="D37" s="14">
        <v>9.4999999999999998E-3</v>
      </c>
      <c r="E37" s="13">
        <v>9417</v>
      </c>
      <c r="F37" s="15">
        <v>0.94169999999999998</v>
      </c>
    </row>
    <row r="38" spans="1:6" x14ac:dyDescent="0.3">
      <c r="A38" s="11">
        <v>2628236.3030901738</v>
      </c>
      <c r="B38" s="12">
        <v>77010.877358080354</v>
      </c>
      <c r="C38" s="13">
        <v>75</v>
      </c>
      <c r="D38" s="14">
        <v>7.4999999999999997E-3</v>
      </c>
      <c r="E38" s="13">
        <v>9492</v>
      </c>
      <c r="F38" s="15">
        <v>0.94920000000000004</v>
      </c>
    </row>
    <row r="39" spans="1:6" x14ac:dyDescent="0.3">
      <c r="A39" s="11">
        <v>2705247.1804482541</v>
      </c>
      <c r="B39" s="12">
        <v>77010.877358080354</v>
      </c>
      <c r="C39" s="13">
        <v>64</v>
      </c>
      <c r="D39" s="14">
        <v>6.4000000000000003E-3</v>
      </c>
      <c r="E39" s="13">
        <v>9556</v>
      </c>
      <c r="F39" s="15">
        <v>0.9556</v>
      </c>
    </row>
    <row r="40" spans="1:6" x14ac:dyDescent="0.3">
      <c r="A40" s="11">
        <v>2782258.0578063345</v>
      </c>
      <c r="B40" s="12">
        <v>77010.877358080354</v>
      </c>
      <c r="C40" s="13">
        <v>68</v>
      </c>
      <c r="D40" s="14">
        <v>6.7999999999999996E-3</v>
      </c>
      <c r="E40" s="13">
        <v>9624</v>
      </c>
      <c r="F40" s="15">
        <v>0.96240000000000003</v>
      </c>
    </row>
    <row r="41" spans="1:6" x14ac:dyDescent="0.3">
      <c r="A41" s="11">
        <v>2859268.9351644148</v>
      </c>
      <c r="B41" s="12">
        <v>77010.877358079888</v>
      </c>
      <c r="C41" s="13">
        <v>51</v>
      </c>
      <c r="D41" s="14">
        <v>5.1000000000000004E-3</v>
      </c>
      <c r="E41" s="13">
        <v>9675</v>
      </c>
      <c r="F41" s="15">
        <v>0.96750000000000003</v>
      </c>
    </row>
    <row r="42" spans="1:6" x14ac:dyDescent="0.3">
      <c r="A42" s="11">
        <v>2936279.8125224947</v>
      </c>
      <c r="B42" s="12">
        <v>77010.877358080354</v>
      </c>
      <c r="C42" s="13">
        <v>42</v>
      </c>
      <c r="D42" s="14">
        <v>4.1999999999999997E-3</v>
      </c>
      <c r="E42" s="13">
        <v>9717</v>
      </c>
      <c r="F42" s="15">
        <v>0.97170000000000001</v>
      </c>
    </row>
    <row r="43" spans="1:6" x14ac:dyDescent="0.3">
      <c r="A43" s="11">
        <v>3013290.6898805751</v>
      </c>
      <c r="B43" s="12">
        <v>77010.877358079888</v>
      </c>
      <c r="C43" s="13">
        <v>41</v>
      </c>
      <c r="D43" s="14">
        <v>4.1000000000000003E-3</v>
      </c>
      <c r="E43" s="13">
        <v>9758</v>
      </c>
      <c r="F43" s="15">
        <v>0.9758</v>
      </c>
    </row>
    <row r="44" spans="1:6" x14ac:dyDescent="0.3">
      <c r="A44" s="11">
        <v>3090301.5672386549</v>
      </c>
      <c r="B44" s="12">
        <v>77010.877358080354</v>
      </c>
      <c r="C44" s="13">
        <v>30</v>
      </c>
      <c r="D44" s="14">
        <v>3.0000000000000001E-3</v>
      </c>
      <c r="E44" s="13">
        <v>9788</v>
      </c>
      <c r="F44" s="15">
        <v>0.9788</v>
      </c>
    </row>
    <row r="45" spans="1:6" x14ac:dyDescent="0.3">
      <c r="A45" s="11">
        <v>3167312.4445967353</v>
      </c>
      <c r="B45" s="12">
        <v>77010.877358080354</v>
      </c>
      <c r="C45" s="13">
        <v>27</v>
      </c>
      <c r="D45" s="14">
        <v>2.7000000000000001E-3</v>
      </c>
      <c r="E45" s="13">
        <v>9815</v>
      </c>
      <c r="F45" s="15">
        <v>0.98150000000000004</v>
      </c>
    </row>
    <row r="46" spans="1:6" x14ac:dyDescent="0.3">
      <c r="A46" s="11">
        <v>3244323.3219548156</v>
      </c>
      <c r="B46" s="12">
        <v>77010.877358080354</v>
      </c>
      <c r="C46" s="13">
        <v>19</v>
      </c>
      <c r="D46" s="14">
        <v>1.9E-3</v>
      </c>
      <c r="E46" s="13">
        <v>9834</v>
      </c>
      <c r="F46" s="15">
        <v>0.98340000000000005</v>
      </c>
    </row>
    <row r="47" spans="1:6" x14ac:dyDescent="0.3">
      <c r="A47" s="11">
        <v>3321334.199312896</v>
      </c>
      <c r="B47" s="12">
        <v>77010.877358080354</v>
      </c>
      <c r="C47" s="13">
        <v>24</v>
      </c>
      <c r="D47" s="14">
        <v>2.3999999999999998E-3</v>
      </c>
      <c r="E47" s="13">
        <v>9858</v>
      </c>
      <c r="F47" s="15">
        <v>0.98580000000000001</v>
      </c>
    </row>
    <row r="48" spans="1:6" x14ac:dyDescent="0.3">
      <c r="A48" s="11">
        <v>3398345.0766709764</v>
      </c>
      <c r="B48" s="12">
        <v>77010.877358080354</v>
      </c>
      <c r="C48" s="13">
        <v>21</v>
      </c>
      <c r="D48" s="14">
        <v>2.0999999999999999E-3</v>
      </c>
      <c r="E48" s="13">
        <v>9879</v>
      </c>
      <c r="F48" s="15">
        <v>0.9879</v>
      </c>
    </row>
    <row r="49" spans="1:6" x14ac:dyDescent="0.3">
      <c r="A49" s="11">
        <v>3475355.9540290567</v>
      </c>
      <c r="B49" s="12">
        <v>77010.877358079888</v>
      </c>
      <c r="C49" s="13">
        <v>18</v>
      </c>
      <c r="D49" s="14">
        <v>1.8E-3</v>
      </c>
      <c r="E49" s="13">
        <v>9897</v>
      </c>
      <c r="F49" s="15">
        <v>0.98970000000000002</v>
      </c>
    </row>
    <row r="50" spans="1:6" x14ac:dyDescent="0.3">
      <c r="A50" s="11">
        <v>3552366.8313871366</v>
      </c>
      <c r="B50" s="12">
        <v>77010.877358080354</v>
      </c>
      <c r="C50" s="13">
        <v>13</v>
      </c>
      <c r="D50" s="14">
        <v>1.2999999999999999E-3</v>
      </c>
      <c r="E50" s="13">
        <v>9910</v>
      </c>
      <c r="F50" s="15">
        <v>0.99099999999999999</v>
      </c>
    </row>
    <row r="51" spans="1:6" x14ac:dyDescent="0.3">
      <c r="A51" s="11">
        <v>3629377.708745217</v>
      </c>
      <c r="B51" s="12">
        <v>77010.877358080354</v>
      </c>
      <c r="C51" s="13">
        <v>16</v>
      </c>
      <c r="D51" s="14">
        <v>1.6000000000000001E-3</v>
      </c>
      <c r="E51" s="13">
        <v>9926</v>
      </c>
      <c r="F51" s="15">
        <v>0.99260000000000004</v>
      </c>
    </row>
    <row r="52" spans="1:6" x14ac:dyDescent="0.3">
      <c r="A52" s="11">
        <v>3706388.5861032973</v>
      </c>
      <c r="B52" s="12">
        <v>77010.877358080354</v>
      </c>
      <c r="C52" s="13">
        <v>5</v>
      </c>
      <c r="D52" s="14">
        <v>5.0000000000000001E-4</v>
      </c>
      <c r="E52" s="13">
        <v>9931</v>
      </c>
      <c r="F52" s="15">
        <v>0.99309999999999998</v>
      </c>
    </row>
    <row r="53" spans="1:6" x14ac:dyDescent="0.3">
      <c r="A53" s="11">
        <v>3783399.4634613777</v>
      </c>
      <c r="B53" s="12">
        <v>77010.877358080354</v>
      </c>
      <c r="C53" s="13">
        <v>8</v>
      </c>
      <c r="D53" s="14">
        <v>8.0000000000000004E-4</v>
      </c>
      <c r="E53" s="13">
        <v>9939</v>
      </c>
      <c r="F53" s="15">
        <v>0.99390000000000001</v>
      </c>
    </row>
    <row r="54" spans="1:6" x14ac:dyDescent="0.3">
      <c r="A54" s="11">
        <v>3860410.340819458</v>
      </c>
      <c r="B54" s="12">
        <v>77010.877358080354</v>
      </c>
      <c r="C54" s="13">
        <v>11</v>
      </c>
      <c r="D54" s="14">
        <v>1.1000000000000001E-3</v>
      </c>
      <c r="E54" s="13">
        <v>9950</v>
      </c>
      <c r="F54" s="15">
        <v>0.995</v>
      </c>
    </row>
    <row r="55" spans="1:6" x14ac:dyDescent="0.3">
      <c r="A55" s="11">
        <v>3937421.2181775384</v>
      </c>
      <c r="B55" s="12">
        <v>77010.877358079888</v>
      </c>
      <c r="C55" s="13">
        <v>6</v>
      </c>
      <c r="D55" s="14">
        <v>5.9999999999999995E-4</v>
      </c>
      <c r="E55" s="13">
        <v>9956</v>
      </c>
      <c r="F55" s="15">
        <v>0.99560000000000004</v>
      </c>
    </row>
    <row r="56" spans="1:6" x14ac:dyDescent="0.3">
      <c r="A56" s="11">
        <v>4014432.0955356183</v>
      </c>
      <c r="B56" s="12">
        <v>77010.877358080354</v>
      </c>
      <c r="C56" s="13">
        <v>4</v>
      </c>
      <c r="D56" s="14">
        <v>4.0000000000000002E-4</v>
      </c>
      <c r="E56" s="13">
        <v>9960</v>
      </c>
      <c r="F56" s="15">
        <v>0.996</v>
      </c>
    </row>
    <row r="57" spans="1:6" x14ac:dyDescent="0.3">
      <c r="A57" s="11">
        <v>4091442.9728936986</v>
      </c>
      <c r="B57" s="12">
        <v>77010.877358080819</v>
      </c>
      <c r="C57" s="13">
        <v>11</v>
      </c>
      <c r="D57" s="14">
        <v>1.1000000000000001E-3</v>
      </c>
      <c r="E57" s="13">
        <v>9971</v>
      </c>
      <c r="F57" s="15">
        <v>0.99709999999999999</v>
      </c>
    </row>
    <row r="58" spans="1:6" x14ac:dyDescent="0.3">
      <c r="A58" s="11">
        <v>4168453.8502517794</v>
      </c>
      <c r="B58" s="12">
        <v>77010.877358079888</v>
      </c>
      <c r="C58" s="13">
        <v>4</v>
      </c>
      <c r="D58" s="14">
        <v>4.0000000000000002E-4</v>
      </c>
      <c r="E58" s="13">
        <v>9975</v>
      </c>
      <c r="F58" s="15">
        <v>0.99750000000000005</v>
      </c>
    </row>
    <row r="59" spans="1:6" x14ac:dyDescent="0.3">
      <c r="A59" s="11">
        <v>4245464.7276098598</v>
      </c>
      <c r="B59" s="12">
        <v>77010.877358079888</v>
      </c>
      <c r="C59" s="13">
        <v>5</v>
      </c>
      <c r="D59" s="14">
        <v>5.0000000000000001E-4</v>
      </c>
      <c r="E59" s="13">
        <v>9980</v>
      </c>
      <c r="F59" s="15">
        <v>0.998</v>
      </c>
    </row>
    <row r="60" spans="1:6" x14ac:dyDescent="0.3">
      <c r="A60" s="11">
        <v>4322475.6049679397</v>
      </c>
      <c r="B60" s="12">
        <v>77010.877358080819</v>
      </c>
      <c r="C60" s="13">
        <v>1</v>
      </c>
      <c r="D60" s="14">
        <v>1E-4</v>
      </c>
      <c r="E60" s="13">
        <v>9981</v>
      </c>
      <c r="F60" s="15">
        <v>0.99809999999999999</v>
      </c>
    </row>
    <row r="61" spans="1:6" x14ac:dyDescent="0.3">
      <c r="A61" s="11">
        <v>4399486.4823260205</v>
      </c>
      <c r="B61" s="12">
        <v>77010.877358079888</v>
      </c>
      <c r="C61" s="13">
        <v>4</v>
      </c>
      <c r="D61" s="14">
        <v>4.0000000000000002E-4</v>
      </c>
      <c r="E61" s="13">
        <v>9985</v>
      </c>
      <c r="F61" s="15">
        <v>0.99850000000000005</v>
      </c>
    </row>
    <row r="62" spans="1:6" x14ac:dyDescent="0.3">
      <c r="A62" s="11">
        <v>4476497.3596841004</v>
      </c>
      <c r="B62" s="12">
        <v>77010.877358080819</v>
      </c>
      <c r="C62" s="13">
        <v>2</v>
      </c>
      <c r="D62" s="14">
        <v>2.0000000000000001E-4</v>
      </c>
      <c r="E62" s="13">
        <v>9987</v>
      </c>
      <c r="F62" s="15">
        <v>0.99870000000000003</v>
      </c>
    </row>
    <row r="63" spans="1:6" x14ac:dyDescent="0.3">
      <c r="A63" s="11">
        <v>4553508.2370421812</v>
      </c>
      <c r="B63" s="12">
        <v>77010.877358079888</v>
      </c>
      <c r="C63" s="13">
        <v>0</v>
      </c>
      <c r="D63" s="14">
        <v>0</v>
      </c>
      <c r="E63" s="13">
        <v>9987</v>
      </c>
      <c r="F63" s="15">
        <v>0.99870000000000003</v>
      </c>
    </row>
    <row r="64" spans="1:6" x14ac:dyDescent="0.3">
      <c r="A64" s="11">
        <v>4630519.1144002611</v>
      </c>
      <c r="B64" s="12">
        <v>77010.877358079888</v>
      </c>
      <c r="C64" s="13">
        <v>1</v>
      </c>
      <c r="D64" s="14">
        <v>1E-4</v>
      </c>
      <c r="E64" s="13">
        <v>9988</v>
      </c>
      <c r="F64" s="15">
        <v>0.99880000000000002</v>
      </c>
    </row>
    <row r="65" spans="1:6" x14ac:dyDescent="0.3">
      <c r="A65" s="11">
        <v>4707529.991758341</v>
      </c>
      <c r="B65" s="12">
        <v>77010.877358080819</v>
      </c>
      <c r="C65" s="13">
        <v>1</v>
      </c>
      <c r="D65" s="14">
        <v>1E-4</v>
      </c>
      <c r="E65" s="13">
        <v>9989</v>
      </c>
      <c r="F65" s="15">
        <v>0.99890000000000001</v>
      </c>
    </row>
    <row r="66" spans="1:6" x14ac:dyDescent="0.3">
      <c r="A66" s="11">
        <v>4784540.8691164218</v>
      </c>
      <c r="B66" s="12">
        <v>77010.877358079888</v>
      </c>
      <c r="C66" s="13">
        <v>4</v>
      </c>
      <c r="D66" s="14">
        <v>4.0000000000000002E-4</v>
      </c>
      <c r="E66" s="13">
        <v>9993</v>
      </c>
      <c r="F66" s="15">
        <v>0.99929999999999997</v>
      </c>
    </row>
    <row r="67" spans="1:6" x14ac:dyDescent="0.3">
      <c r="A67" s="11">
        <v>4861551.7464745017</v>
      </c>
      <c r="B67" s="12">
        <v>77010.877358079888</v>
      </c>
      <c r="C67" s="13">
        <v>1</v>
      </c>
      <c r="D67" s="14">
        <v>1E-4</v>
      </c>
      <c r="E67" s="13">
        <v>9994</v>
      </c>
      <c r="F67" s="15">
        <v>0.99939999999999996</v>
      </c>
    </row>
    <row r="68" spans="1:6" x14ac:dyDescent="0.3">
      <c r="A68" s="11">
        <v>4938562.6238325816</v>
      </c>
      <c r="B68" s="12">
        <v>77010.877358079888</v>
      </c>
      <c r="C68" s="13">
        <v>2</v>
      </c>
      <c r="D68" s="14">
        <v>2.0000000000000001E-4</v>
      </c>
      <c r="E68" s="13">
        <v>9996</v>
      </c>
      <c r="F68" s="15">
        <v>0.99960000000000004</v>
      </c>
    </row>
    <row r="69" spans="1:6" x14ac:dyDescent="0.3">
      <c r="A69" s="11">
        <v>5015573.5011906615</v>
      </c>
      <c r="B69" s="12">
        <v>77010.877358080819</v>
      </c>
      <c r="C69" s="13">
        <v>0</v>
      </c>
      <c r="D69" s="14">
        <v>0</v>
      </c>
      <c r="E69" s="13">
        <v>9996</v>
      </c>
      <c r="F69" s="15">
        <v>0.99960000000000004</v>
      </c>
    </row>
    <row r="70" spans="1:6" x14ac:dyDescent="0.3">
      <c r="A70" s="11">
        <v>5092584.3785487423</v>
      </c>
      <c r="B70" s="12">
        <v>77010.877358079888</v>
      </c>
      <c r="C70" s="13">
        <v>1</v>
      </c>
      <c r="D70" s="14">
        <v>1E-4</v>
      </c>
      <c r="E70" s="13">
        <v>9997</v>
      </c>
      <c r="F70" s="15">
        <v>0.99970000000000003</v>
      </c>
    </row>
    <row r="71" spans="1:6" x14ac:dyDescent="0.3">
      <c r="A71" s="11">
        <v>5169595.2559068222</v>
      </c>
      <c r="B71" s="12">
        <v>77010.877358080819</v>
      </c>
      <c r="C71" s="13">
        <v>1</v>
      </c>
      <c r="D71" s="14">
        <v>1E-4</v>
      </c>
      <c r="E71" s="13">
        <v>9998</v>
      </c>
      <c r="F71" s="15">
        <v>0.99980000000000002</v>
      </c>
    </row>
    <row r="72" spans="1:6" x14ac:dyDescent="0.3">
      <c r="A72" s="11">
        <v>5246606.133264903</v>
      </c>
      <c r="B72" s="12">
        <v>77010.877358079888</v>
      </c>
      <c r="C72" s="13">
        <v>0</v>
      </c>
      <c r="D72" s="14">
        <v>0</v>
      </c>
      <c r="E72" s="13">
        <v>9998</v>
      </c>
      <c r="F72" s="15">
        <v>0.99980000000000002</v>
      </c>
    </row>
    <row r="73" spans="1:6" x14ac:dyDescent="0.3">
      <c r="A73" s="11">
        <v>5323617.0106229829</v>
      </c>
      <c r="B73" s="12">
        <v>77010.877358079888</v>
      </c>
      <c r="C73" s="13">
        <v>1</v>
      </c>
      <c r="D73" s="14">
        <v>1E-4</v>
      </c>
      <c r="E73" s="13">
        <v>9999</v>
      </c>
      <c r="F73" s="15">
        <v>0.99990000000000001</v>
      </c>
    </row>
    <row r="74" spans="1:6" x14ac:dyDescent="0.3">
      <c r="A74" s="11">
        <v>5400627.8879810628</v>
      </c>
      <c r="B74" s="12">
        <v>77010.877358080819</v>
      </c>
      <c r="C74" s="13">
        <v>0</v>
      </c>
      <c r="D74" s="14">
        <v>0</v>
      </c>
      <c r="E74" s="13">
        <v>9999</v>
      </c>
      <c r="F74" s="15">
        <v>0.99990000000000001</v>
      </c>
    </row>
    <row r="75" spans="1:6" x14ac:dyDescent="0.3">
      <c r="A75" s="11">
        <v>5477638.7653391436</v>
      </c>
      <c r="B75" s="12">
        <v>77010.877358079888</v>
      </c>
      <c r="C75" s="13">
        <v>0</v>
      </c>
      <c r="D75" s="14">
        <v>0</v>
      </c>
      <c r="E75" s="13">
        <v>9999</v>
      </c>
      <c r="F75" s="15">
        <v>0.99990000000000001</v>
      </c>
    </row>
    <row r="76" spans="1:6" x14ac:dyDescent="0.3">
      <c r="A76" s="11">
        <v>5554649.6426972235</v>
      </c>
      <c r="B76" s="12">
        <v>77010.877358080819</v>
      </c>
      <c r="C76" s="13">
        <v>0</v>
      </c>
      <c r="D76" s="14">
        <v>0</v>
      </c>
      <c r="E76" s="13">
        <v>9999</v>
      </c>
      <c r="F76" s="15">
        <v>0.99990000000000001</v>
      </c>
    </row>
    <row r="77" spans="1:6" x14ac:dyDescent="0.3">
      <c r="A77" s="11">
        <v>5631660.5200553043</v>
      </c>
      <c r="B77" s="12">
        <v>77010.877358079888</v>
      </c>
      <c r="C77" s="13">
        <v>0</v>
      </c>
      <c r="D77" s="14">
        <v>0</v>
      </c>
      <c r="E77" s="13">
        <v>9999</v>
      </c>
      <c r="F77" s="15">
        <v>0.99990000000000001</v>
      </c>
    </row>
    <row r="78" spans="1:6" x14ac:dyDescent="0.3">
      <c r="A78" s="11">
        <v>5708671.3974133842</v>
      </c>
      <c r="B78" s="12">
        <v>77010.877358080819</v>
      </c>
      <c r="C78" s="13">
        <v>0</v>
      </c>
      <c r="D78" s="14">
        <v>0</v>
      </c>
      <c r="E78" s="13">
        <v>9999</v>
      </c>
      <c r="F78" s="15">
        <v>0.99990000000000001</v>
      </c>
    </row>
    <row r="79" spans="1:6" ht="15" thickBot="1" x14ac:dyDescent="0.35">
      <c r="A79" s="16">
        <v>5785682.274771465</v>
      </c>
      <c r="B79" s="17">
        <v>77010.877358079888</v>
      </c>
      <c r="C79" s="18">
        <v>1</v>
      </c>
      <c r="D79" s="19">
        <v>1E-4</v>
      </c>
      <c r="E79" s="18">
        <v>10000</v>
      </c>
      <c r="F79" s="20">
        <v>1</v>
      </c>
    </row>
    <row r="80" spans="1:6" ht="15" thickTop="1" x14ac:dyDescent="0.3"/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Simulacion META</vt:lpstr>
      <vt:lpstr>Histograma_Valor_final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Roman Mery Araya</dc:creator>
  <cp:lastModifiedBy>Patricio Roman Mery Araya</cp:lastModifiedBy>
  <dcterms:created xsi:type="dcterms:W3CDTF">2025-08-23T15:12:43Z</dcterms:created>
  <dcterms:modified xsi:type="dcterms:W3CDTF">2025-08-23T17:02:31Z</dcterms:modified>
</cp:coreProperties>
</file>